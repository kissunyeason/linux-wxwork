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030" tabRatio="815" firstSheet="1" activeTab="1"/>
  </bookViews>
  <sheets>
    <sheet name="课程基础信息" sheetId="17" r:id="rId1"/>
    <sheet name="春季" sheetId="1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<sst xmlns="http://schemas.openxmlformats.org/spreadsheetml/2006/main" count="89" uniqueCount="37">
  <si>
    <t>开课校区</t>
  </si>
  <si>
    <t>年级</t>
  </si>
  <si>
    <t>单价</t>
  </si>
  <si>
    <t>春季课次</t>
  </si>
  <si>
    <t>开设科目</t>
  </si>
  <si>
    <t>开课时间</t>
  </si>
  <si>
    <t>并州校区
华清校区
小店校区
新民校区
学府校区
长风校区
老军营校区</t>
  </si>
  <si>
    <t>一、二年级</t>
  </si>
  <si>
    <t>语文、数学、英语</t>
  </si>
  <si>
    <t>【春季开课日期】  3月14日</t>
  </si>
  <si>
    <t>三、四年级</t>
  </si>
  <si>
    <t>五、六年级</t>
  </si>
  <si>
    <t>初一年级</t>
  </si>
  <si>
    <t>语文、数学、英语、物理</t>
  </si>
  <si>
    <t>初二年级</t>
  </si>
  <si>
    <t>初三年级</t>
  </si>
  <si>
    <t>语文、数学、英语、物理、化学</t>
  </si>
  <si>
    <t>高一年级</t>
  </si>
  <si>
    <t>高二年级</t>
  </si>
  <si>
    <t>数学、英语、物理、化学</t>
  </si>
  <si>
    <t>2026春季精品小班小学优惠价目表（二阶段）</t>
  </si>
  <si>
    <t>原价</t>
  </si>
  <si>
    <t>优惠</t>
  </si>
  <si>
    <t>现价</t>
  </si>
  <si>
    <t>折扣</t>
  </si>
  <si>
    <t>折后单价</t>
  </si>
  <si>
    <t>一科</t>
  </si>
  <si>
    <t>两科</t>
  </si>
  <si>
    <t>三科</t>
  </si>
  <si>
    <t>备注</t>
  </si>
  <si>
    <r>
      <t xml:space="preserve">单价：一二年级170元/节课，三四年级180元/节课，五六年级190元/节课
春季课次：各年级15节课，每节课2小时
教材费：40元/科（英语一二年级国家地理绘本119元/套，需额外补加79元差价，英语三四年级look教材236元/套，需补196元差价）
如发生退费需要还原优惠，按原单价进行核减退费，且在1/2行课进度后不予退费。
</t>
    </r>
    <r>
      <rPr>
        <b/>
        <sz val="11"/>
        <color rgb="FFFF0000"/>
        <rFont val="微软雅黑"/>
        <charset val="134"/>
      </rPr>
      <t>优惠时间截止：春季开课前</t>
    </r>
  </si>
  <si>
    <t>2026春季精品小班中学优惠价目表（窗口期外）</t>
  </si>
  <si>
    <t>初一二年级</t>
  </si>
  <si>
    <t>四科</t>
  </si>
  <si>
    <t>五科</t>
  </si>
  <si>
    <t>高一二年级</t>
  </si>
  <si>
    <r>
      <t xml:space="preserve">单价：初一初二200元/节课，初三210元/节课，高一高二220元/节课
春季课次：初一二高一二15节课，初三14节课，每节课2小时 
如发生退费需要还原优惠，按原单价进行核减退费，且在1/2行课进度后不予退费。
</t>
    </r>
    <r>
      <rPr>
        <b/>
        <sz val="11"/>
        <color rgb="FFFF0000"/>
        <rFont val="微软雅黑"/>
        <charset val="134"/>
      </rPr>
      <t>优惠时间截止：春季开课前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</si>
</sst>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0">
    <font>
      <sz val="12"/>
      <name val="宋体"/>
      <charset val="134"/>
    </font>
    <font>
      <b/>
      <sz val="16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2"/>
      <name val="微软雅黑"/>
      <charset val="134"/>
    </font>
    <font>
      <b/>
      <sz val="1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9" fillId="0" borderId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4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>
      <protection locked="0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3" fillId="0" borderId="8" xfId="3" applyFont="1" applyBorder="1" applyAlignment="1">
      <alignment horizontal="center" vertical="center"/>
      <protection locked="0"/>
    </xf>
    <xf numFmtId="176" fontId="3" fillId="0" borderId="9" xfId="3" applyNumberFormat="1" applyFont="1" applyBorder="1" applyAlignment="1">
      <alignment horizontal="center" vertical="center"/>
      <protection locked="0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9"/>
  <sheetViews>
    <sheetView zoomScale="120" zoomScaleNormal="120" workbookViewId="0">
      <selection activeCell="F12" sqref="F12"/>
    </sheetView>
  </sheetViews>
  <sheetFormatPr defaultColWidth="8.66666666666667" defaultRowHeight="15" outlineLevelCol="5"/>
  <cols>
    <col min="1" max="4" width="12.5833333333333" customWidth="1"/>
    <col min="5" max="5" width="32.0833333333333" customWidth="1"/>
    <col min="6" max="6" width="28.3333333333333" customWidth="1"/>
  </cols>
  <sheetData>
    <row r="1" ht="27" customHeight="1" spans="1:6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</row>
    <row r="2" ht="23" customHeight="1" spans="1:6">
      <c r="A2" s="27" t="s">
        <v>6</v>
      </c>
      <c r="B2" s="8" t="s">
        <v>7</v>
      </c>
      <c r="C2" s="8">
        <v>170</v>
      </c>
      <c r="D2" s="8">
        <v>15</v>
      </c>
      <c r="E2" s="8" t="s">
        <v>8</v>
      </c>
      <c r="F2" s="28" t="s">
        <v>9</v>
      </c>
    </row>
    <row r="3" ht="23" customHeight="1" spans="1:6">
      <c r="A3" s="27"/>
      <c r="B3" s="8" t="s">
        <v>10</v>
      </c>
      <c r="C3" s="8">
        <v>180</v>
      </c>
      <c r="D3" s="8">
        <v>15</v>
      </c>
      <c r="E3" s="8" t="s">
        <v>8</v>
      </c>
      <c r="F3" s="28"/>
    </row>
    <row r="4" ht="23" customHeight="1" spans="1:6">
      <c r="A4" s="27"/>
      <c r="B4" s="8" t="s">
        <v>11</v>
      </c>
      <c r="C4" s="8">
        <v>190</v>
      </c>
      <c r="D4" s="8">
        <v>15</v>
      </c>
      <c r="E4" s="8" t="s">
        <v>8</v>
      </c>
      <c r="F4" s="28"/>
    </row>
    <row r="5" ht="23" customHeight="1" spans="1:6">
      <c r="A5" s="27"/>
      <c r="B5" s="8" t="s">
        <v>12</v>
      </c>
      <c r="C5" s="8">
        <v>200</v>
      </c>
      <c r="D5" s="8">
        <v>15</v>
      </c>
      <c r="E5" s="8" t="s">
        <v>13</v>
      </c>
      <c r="F5" s="28"/>
    </row>
    <row r="6" ht="23" customHeight="1" spans="1:6">
      <c r="A6" s="27"/>
      <c r="B6" s="8" t="s">
        <v>14</v>
      </c>
      <c r="C6" s="8">
        <v>200</v>
      </c>
      <c r="D6" s="8">
        <v>15</v>
      </c>
      <c r="E6" s="8" t="s">
        <v>13</v>
      </c>
      <c r="F6" s="28"/>
    </row>
    <row r="7" ht="23" customHeight="1" spans="1:6">
      <c r="A7" s="27"/>
      <c r="B7" s="8" t="s">
        <v>15</v>
      </c>
      <c r="C7" s="8">
        <v>210</v>
      </c>
      <c r="D7" s="8">
        <v>14</v>
      </c>
      <c r="E7" s="8" t="s">
        <v>16</v>
      </c>
      <c r="F7" s="28"/>
    </row>
    <row r="8" ht="23" customHeight="1" spans="1:6">
      <c r="A8" s="27"/>
      <c r="B8" s="8" t="s">
        <v>17</v>
      </c>
      <c r="C8" s="8">
        <v>220</v>
      </c>
      <c r="D8" s="8">
        <v>15</v>
      </c>
      <c r="E8" s="8" t="s">
        <v>16</v>
      </c>
      <c r="F8" s="28"/>
    </row>
    <row r="9" ht="23" customHeight="1" spans="1:6">
      <c r="A9" s="27"/>
      <c r="B9" s="8" t="s">
        <v>18</v>
      </c>
      <c r="C9" s="8">
        <v>220</v>
      </c>
      <c r="D9" s="8">
        <v>15</v>
      </c>
      <c r="E9" s="8" t="s">
        <v>19</v>
      </c>
      <c r="F9" s="28"/>
    </row>
  </sheetData>
  <mergeCells count="2">
    <mergeCell ref="A2:A9"/>
    <mergeCell ref="F2:F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F34"/>
  <sheetViews>
    <sheetView tabSelected="1" workbookViewId="0">
      <selection activeCell="D38" sqref="D38"/>
    </sheetView>
  </sheetViews>
  <sheetFormatPr defaultColWidth="9" defaultRowHeight="15" outlineLevelCol="5"/>
  <cols>
    <col min="1" max="1" width="11.9166666666667" customWidth="1"/>
    <col min="2" max="6" width="12.5" customWidth="1"/>
    <col min="7" max="7" width="12.6666666666667"/>
  </cols>
  <sheetData>
    <row r="1" ht="34" customHeight="1" spans="1:6">
      <c r="A1" s="1" t="s">
        <v>20</v>
      </c>
      <c r="B1" s="2"/>
      <c r="C1" s="2"/>
      <c r="D1" s="2"/>
      <c r="E1" s="2"/>
      <c r="F1" s="3"/>
    </row>
    <row r="2" ht="21" customHeight="1" spans="1:6">
      <c r="A2" s="4" t="s">
        <v>7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</row>
    <row r="3" ht="21" customHeight="1" spans="1:6">
      <c r="A3" s="7" t="s">
        <v>26</v>
      </c>
      <c r="B3" s="8">
        <f>15*170+40</f>
        <v>2590</v>
      </c>
      <c r="C3" s="9">
        <v>100</v>
      </c>
      <c r="D3" s="8">
        <f t="shared" ref="D3:D9" si="0">B3-C3</f>
        <v>2490</v>
      </c>
      <c r="E3" s="10">
        <f t="shared" ref="E3:E9" si="1">D3/B3</f>
        <v>0.961389961389961</v>
      </c>
      <c r="F3" s="11">
        <f>(D3-40)/15</f>
        <v>163.333333333333</v>
      </c>
    </row>
    <row r="4" ht="21" customHeight="1" spans="1:6">
      <c r="A4" s="7" t="s">
        <v>27</v>
      </c>
      <c r="B4" s="8">
        <f>B3*2</f>
        <v>5180</v>
      </c>
      <c r="C4" s="9">
        <v>300</v>
      </c>
      <c r="D4" s="8">
        <f t="shared" si="0"/>
        <v>4880</v>
      </c>
      <c r="E4" s="10">
        <f t="shared" si="1"/>
        <v>0.942084942084942</v>
      </c>
      <c r="F4" s="11">
        <f>(D4-80)/30</f>
        <v>160</v>
      </c>
    </row>
    <row r="5" ht="21" customHeight="1" spans="1:6">
      <c r="A5" s="7" t="s">
        <v>28</v>
      </c>
      <c r="B5" s="8">
        <f>B3*3</f>
        <v>7770</v>
      </c>
      <c r="C5" s="9">
        <v>700</v>
      </c>
      <c r="D5" s="8">
        <f t="shared" si="0"/>
        <v>7070</v>
      </c>
      <c r="E5" s="10">
        <f t="shared" si="1"/>
        <v>0.90990990990991</v>
      </c>
      <c r="F5" s="11">
        <f>(D5-120)/45</f>
        <v>154.444444444444</v>
      </c>
    </row>
    <row r="6" ht="21" customHeight="1" spans="1:6">
      <c r="A6" s="4" t="s">
        <v>10</v>
      </c>
      <c r="B6" s="5" t="s">
        <v>21</v>
      </c>
      <c r="C6" s="5" t="s">
        <v>22</v>
      </c>
      <c r="D6" s="5" t="s">
        <v>23</v>
      </c>
      <c r="E6" s="5" t="s">
        <v>24</v>
      </c>
      <c r="F6" s="6" t="s">
        <v>25</v>
      </c>
    </row>
    <row r="7" ht="21" customHeight="1" spans="1:6">
      <c r="A7" s="7" t="s">
        <v>26</v>
      </c>
      <c r="B7" s="8">
        <f>15*180+40</f>
        <v>2740</v>
      </c>
      <c r="C7" s="9">
        <v>100</v>
      </c>
      <c r="D7" s="8">
        <f t="shared" si="0"/>
        <v>2640</v>
      </c>
      <c r="E7" s="10">
        <f t="shared" si="1"/>
        <v>0.963503649635037</v>
      </c>
      <c r="F7" s="11">
        <f>(D7-40)/15</f>
        <v>173.333333333333</v>
      </c>
    </row>
    <row r="8" ht="21" customHeight="1" spans="1:6">
      <c r="A8" s="7" t="s">
        <v>27</v>
      </c>
      <c r="B8" s="8">
        <f>B7*2</f>
        <v>5480</v>
      </c>
      <c r="C8" s="9">
        <v>300</v>
      </c>
      <c r="D8" s="8">
        <f t="shared" si="0"/>
        <v>5180</v>
      </c>
      <c r="E8" s="10">
        <f t="shared" si="1"/>
        <v>0.945255474452555</v>
      </c>
      <c r="F8" s="11">
        <f>(D8-80)/30</f>
        <v>170</v>
      </c>
    </row>
    <row r="9" ht="21" customHeight="1" spans="1:6">
      <c r="A9" s="7" t="s">
        <v>28</v>
      </c>
      <c r="B9" s="8">
        <f>B7*3</f>
        <v>8220</v>
      </c>
      <c r="C9" s="9">
        <v>700</v>
      </c>
      <c r="D9" s="8">
        <f t="shared" si="0"/>
        <v>7520</v>
      </c>
      <c r="E9" s="10">
        <f t="shared" si="1"/>
        <v>0.914841849148418</v>
      </c>
      <c r="F9" s="11">
        <f>(D9-120)/45</f>
        <v>164.444444444444</v>
      </c>
    </row>
    <row r="10" ht="24" customHeight="1" spans="1:6">
      <c r="A10" s="12" t="s">
        <v>11</v>
      </c>
      <c r="B10" s="13" t="s">
        <v>21</v>
      </c>
      <c r="C10" s="13" t="s">
        <v>22</v>
      </c>
      <c r="D10" s="13" t="s">
        <v>23</v>
      </c>
      <c r="E10" s="13" t="s">
        <v>24</v>
      </c>
      <c r="F10" s="14" t="s">
        <v>25</v>
      </c>
    </row>
    <row r="11" ht="24" customHeight="1" spans="1:6">
      <c r="A11" s="7" t="s">
        <v>26</v>
      </c>
      <c r="B11" s="8">
        <f>15*190+40</f>
        <v>2890</v>
      </c>
      <c r="C11" s="9">
        <v>100</v>
      </c>
      <c r="D11" s="8">
        <f t="shared" ref="D11:D13" si="2">B11-C11</f>
        <v>2790</v>
      </c>
      <c r="E11" s="10">
        <f t="shared" ref="E11:E13" si="3">D11/B11</f>
        <v>0.965397923875433</v>
      </c>
      <c r="F11" s="11">
        <f>(D11-40)/15</f>
        <v>183.333333333333</v>
      </c>
    </row>
    <row r="12" ht="24" customHeight="1" spans="1:6">
      <c r="A12" s="7" t="s">
        <v>27</v>
      </c>
      <c r="B12" s="8">
        <f>B11*2</f>
        <v>5780</v>
      </c>
      <c r="C12" s="9">
        <v>300</v>
      </c>
      <c r="D12" s="8">
        <f t="shared" si="2"/>
        <v>5480</v>
      </c>
      <c r="E12" s="10">
        <f t="shared" si="3"/>
        <v>0.948096885813149</v>
      </c>
      <c r="F12" s="11">
        <f>(D12-80)/30</f>
        <v>180</v>
      </c>
    </row>
    <row r="13" ht="24" customHeight="1" spans="1:6">
      <c r="A13" s="7" t="s">
        <v>28</v>
      </c>
      <c r="B13" s="8">
        <f>B11*3</f>
        <v>8670</v>
      </c>
      <c r="C13" s="9">
        <v>700</v>
      </c>
      <c r="D13" s="8">
        <f t="shared" si="2"/>
        <v>7970</v>
      </c>
      <c r="E13" s="10">
        <f t="shared" si="3"/>
        <v>0.919261822376009</v>
      </c>
      <c r="F13" s="11">
        <f>(D13-120)/45</f>
        <v>174.444444444444</v>
      </c>
    </row>
    <row r="14" ht="126" customHeight="1" spans="1:6">
      <c r="A14" s="15" t="s">
        <v>29</v>
      </c>
      <c r="B14" s="16" t="s">
        <v>30</v>
      </c>
      <c r="C14" s="16"/>
      <c r="D14" s="16"/>
      <c r="E14" s="16"/>
      <c r="F14" s="17"/>
    </row>
    <row r="15" ht="15.75"/>
    <row r="16" ht="35" customHeight="1" spans="1:6">
      <c r="A16" s="1" t="s">
        <v>31</v>
      </c>
      <c r="B16" s="2"/>
      <c r="C16" s="2"/>
      <c r="D16" s="2"/>
      <c r="E16" s="2"/>
      <c r="F16" s="3"/>
    </row>
    <row r="17" ht="21" customHeight="1" spans="1:6">
      <c r="A17" s="18" t="s">
        <v>32</v>
      </c>
      <c r="B17" s="19" t="s">
        <v>21</v>
      </c>
      <c r="C17" s="19" t="s">
        <v>22</v>
      </c>
      <c r="D17" s="19" t="s">
        <v>23</v>
      </c>
      <c r="E17" s="19" t="s">
        <v>24</v>
      </c>
      <c r="F17" s="20" t="s">
        <v>25</v>
      </c>
    </row>
    <row r="18" ht="21" customHeight="1" spans="1:6">
      <c r="A18" s="7" t="s">
        <v>26</v>
      </c>
      <c r="B18" s="8">
        <f>15*200</f>
        <v>3000</v>
      </c>
      <c r="C18" s="9">
        <v>100</v>
      </c>
      <c r="D18" s="8">
        <f t="shared" ref="D18:D21" si="4">B18-C18</f>
        <v>2900</v>
      </c>
      <c r="E18" s="10">
        <f t="shared" ref="E18:E21" si="5">D18/B18</f>
        <v>0.966666666666667</v>
      </c>
      <c r="F18" s="11">
        <f>D18/15</f>
        <v>193.333333333333</v>
      </c>
    </row>
    <row r="19" ht="21" customHeight="1" spans="1:6">
      <c r="A19" s="7" t="s">
        <v>27</v>
      </c>
      <c r="B19" s="8">
        <f>B18*2</f>
        <v>6000</v>
      </c>
      <c r="C19" s="9">
        <v>300</v>
      </c>
      <c r="D19" s="8">
        <f t="shared" si="4"/>
        <v>5700</v>
      </c>
      <c r="E19" s="10">
        <f t="shared" si="5"/>
        <v>0.95</v>
      </c>
      <c r="F19" s="11">
        <f>D19/30</f>
        <v>190</v>
      </c>
    </row>
    <row r="20" ht="21" customHeight="1" spans="1:6">
      <c r="A20" s="7" t="s">
        <v>28</v>
      </c>
      <c r="B20" s="8">
        <f>B18*3</f>
        <v>9000</v>
      </c>
      <c r="C20" s="9">
        <v>700</v>
      </c>
      <c r="D20" s="8">
        <f t="shared" si="4"/>
        <v>8300</v>
      </c>
      <c r="E20" s="10">
        <f t="shared" si="5"/>
        <v>0.922222222222222</v>
      </c>
      <c r="F20" s="11">
        <f>D20/45</f>
        <v>184.444444444444</v>
      </c>
    </row>
    <row r="21" ht="21" customHeight="1" spans="1:6">
      <c r="A21" s="7" t="s">
        <v>33</v>
      </c>
      <c r="B21" s="8">
        <f>B18*4</f>
        <v>12000</v>
      </c>
      <c r="C21" s="9">
        <v>1300</v>
      </c>
      <c r="D21" s="8">
        <f t="shared" si="4"/>
        <v>10700</v>
      </c>
      <c r="E21" s="10">
        <f t="shared" si="5"/>
        <v>0.891666666666667</v>
      </c>
      <c r="F21" s="11">
        <f>D21/60</f>
        <v>178.333333333333</v>
      </c>
    </row>
    <row r="22" ht="21" customHeight="1" spans="1:6">
      <c r="A22" s="12" t="s">
        <v>15</v>
      </c>
      <c r="B22" s="13" t="s">
        <v>21</v>
      </c>
      <c r="C22" s="13" t="s">
        <v>22</v>
      </c>
      <c r="D22" s="13" t="s">
        <v>23</v>
      </c>
      <c r="E22" s="13" t="s">
        <v>24</v>
      </c>
      <c r="F22" s="14" t="s">
        <v>25</v>
      </c>
    </row>
    <row r="23" ht="21" customHeight="1" spans="1:6">
      <c r="A23" s="7" t="s">
        <v>26</v>
      </c>
      <c r="B23" s="8">
        <f>14*210</f>
        <v>2940</v>
      </c>
      <c r="C23" s="9">
        <v>90</v>
      </c>
      <c r="D23" s="8">
        <f t="shared" ref="D23:D27" si="6">B23-C23</f>
        <v>2850</v>
      </c>
      <c r="E23" s="10">
        <f t="shared" ref="E23:E27" si="7">D23/B23</f>
        <v>0.969387755102041</v>
      </c>
      <c r="F23" s="11">
        <f>D23/14</f>
        <v>203.571428571429</v>
      </c>
    </row>
    <row r="24" ht="21" customHeight="1" spans="1:6">
      <c r="A24" s="7" t="s">
        <v>27</v>
      </c>
      <c r="B24" s="8">
        <f>B23*2</f>
        <v>5880</v>
      </c>
      <c r="C24" s="9">
        <v>280</v>
      </c>
      <c r="D24" s="8">
        <f t="shared" si="6"/>
        <v>5600</v>
      </c>
      <c r="E24" s="10">
        <f t="shared" si="7"/>
        <v>0.952380952380952</v>
      </c>
      <c r="F24" s="11">
        <f>D24/28</f>
        <v>200</v>
      </c>
    </row>
    <row r="25" ht="21" customHeight="1" spans="1:6">
      <c r="A25" s="7" t="s">
        <v>28</v>
      </c>
      <c r="B25" s="8">
        <f>B23*3</f>
        <v>8820</v>
      </c>
      <c r="C25" s="9">
        <v>650</v>
      </c>
      <c r="D25" s="8">
        <f t="shared" si="6"/>
        <v>8170</v>
      </c>
      <c r="E25" s="10">
        <f t="shared" si="7"/>
        <v>0.926303854875283</v>
      </c>
      <c r="F25" s="11">
        <f>D25/42</f>
        <v>194.52380952381</v>
      </c>
    </row>
    <row r="26" ht="21" customHeight="1" spans="1:6">
      <c r="A26" s="21" t="s">
        <v>33</v>
      </c>
      <c r="B26" s="8">
        <f>B23*4</f>
        <v>11760</v>
      </c>
      <c r="C26" s="9">
        <v>1200</v>
      </c>
      <c r="D26" s="8">
        <f t="shared" si="6"/>
        <v>10560</v>
      </c>
      <c r="E26" s="10">
        <f t="shared" si="7"/>
        <v>0.897959183673469</v>
      </c>
      <c r="F26" s="11">
        <f>D26/56</f>
        <v>188.571428571429</v>
      </c>
    </row>
    <row r="27" customFormat="1" ht="21" customHeight="1" spans="1:6">
      <c r="A27" s="21" t="s">
        <v>34</v>
      </c>
      <c r="B27" s="8">
        <f>B23*5</f>
        <v>14700</v>
      </c>
      <c r="C27" s="9">
        <v>1500</v>
      </c>
      <c r="D27" s="8">
        <f t="shared" si="6"/>
        <v>13200</v>
      </c>
      <c r="E27" s="10">
        <f t="shared" si="7"/>
        <v>0.897959183673469</v>
      </c>
      <c r="F27" s="11">
        <f>D27/70</f>
        <v>188.571428571429</v>
      </c>
    </row>
    <row r="28" customFormat="1" ht="21" customHeight="1" spans="1:6">
      <c r="A28" s="12" t="s">
        <v>35</v>
      </c>
      <c r="B28" s="13" t="s">
        <v>21</v>
      </c>
      <c r="C28" s="13" t="s">
        <v>22</v>
      </c>
      <c r="D28" s="13" t="s">
        <v>23</v>
      </c>
      <c r="E28" s="13" t="s">
        <v>24</v>
      </c>
      <c r="F28" s="14" t="s">
        <v>25</v>
      </c>
    </row>
    <row r="29" customFormat="1" ht="21" customHeight="1" spans="1:6">
      <c r="A29" s="7" t="s">
        <v>26</v>
      </c>
      <c r="B29" s="8">
        <f>15*220</f>
        <v>3300</v>
      </c>
      <c r="C29" s="9">
        <v>100</v>
      </c>
      <c r="D29" s="8">
        <f t="shared" ref="D29:D33" si="8">B29-C29</f>
        <v>3200</v>
      </c>
      <c r="E29" s="10">
        <f t="shared" ref="E29:E33" si="9">D29/B29</f>
        <v>0.96969696969697</v>
      </c>
      <c r="F29" s="11">
        <f>D29/15</f>
        <v>213.333333333333</v>
      </c>
    </row>
    <row r="30" customFormat="1" ht="21" customHeight="1" spans="1:6">
      <c r="A30" s="7" t="s">
        <v>27</v>
      </c>
      <c r="B30" s="8">
        <f>B29*2</f>
        <v>6600</v>
      </c>
      <c r="C30" s="9">
        <v>300</v>
      </c>
      <c r="D30" s="8">
        <f t="shared" si="8"/>
        <v>6300</v>
      </c>
      <c r="E30" s="10">
        <f t="shared" si="9"/>
        <v>0.954545454545455</v>
      </c>
      <c r="F30" s="11">
        <f>D30/30</f>
        <v>210</v>
      </c>
    </row>
    <row r="31" customFormat="1" ht="21" customHeight="1" spans="1:6">
      <c r="A31" s="7" t="s">
        <v>28</v>
      </c>
      <c r="B31" s="8">
        <f>B29*3</f>
        <v>9900</v>
      </c>
      <c r="C31" s="9">
        <v>700</v>
      </c>
      <c r="D31" s="8">
        <f t="shared" si="8"/>
        <v>9200</v>
      </c>
      <c r="E31" s="10">
        <f t="shared" si="9"/>
        <v>0.929292929292929</v>
      </c>
      <c r="F31" s="11">
        <f>D31/45</f>
        <v>204.444444444444</v>
      </c>
    </row>
    <row r="32" customFormat="1" ht="21" customHeight="1" spans="1:6">
      <c r="A32" s="21" t="s">
        <v>33</v>
      </c>
      <c r="B32" s="8">
        <f>B29*4</f>
        <v>13200</v>
      </c>
      <c r="C32" s="9">
        <v>1300</v>
      </c>
      <c r="D32" s="8">
        <f t="shared" si="8"/>
        <v>11900</v>
      </c>
      <c r="E32" s="10">
        <f t="shared" si="9"/>
        <v>0.901515151515151</v>
      </c>
      <c r="F32" s="11">
        <f>D32/60</f>
        <v>198.333333333333</v>
      </c>
    </row>
    <row r="33" customFormat="1" ht="21" customHeight="1" spans="1:6">
      <c r="A33" s="21" t="s">
        <v>34</v>
      </c>
      <c r="B33" s="8">
        <f>B29*5</f>
        <v>16500</v>
      </c>
      <c r="C33" s="9">
        <v>1625</v>
      </c>
      <c r="D33" s="8">
        <f t="shared" si="8"/>
        <v>14875</v>
      </c>
      <c r="E33" s="10">
        <f t="shared" si="9"/>
        <v>0.901515151515151</v>
      </c>
      <c r="F33" s="11">
        <f>D33/75</f>
        <v>198.333333333333</v>
      </c>
    </row>
    <row r="34" customFormat="1" ht="96" customHeight="1" spans="1:6">
      <c r="A34" s="15" t="s">
        <v>29</v>
      </c>
      <c r="B34" s="22" t="s">
        <v>36</v>
      </c>
      <c r="C34" s="22"/>
      <c r="D34" s="22"/>
      <c r="E34" s="23"/>
      <c r="F34" s="24"/>
    </row>
  </sheetData>
  <mergeCells count="4">
    <mergeCell ref="A1:F1"/>
    <mergeCell ref="B14:F14"/>
    <mergeCell ref="A16:F16"/>
    <mergeCell ref="B34:F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课程基础信息</vt:lpstr>
      <vt:lpstr>春季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文刂</cp:lastModifiedBy>
  <dcterms:created xsi:type="dcterms:W3CDTF">2020-05-31T18:13:00Z</dcterms:created>
  <dcterms:modified xsi:type="dcterms:W3CDTF">2026-02-24T10:02:48Z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D374C04AE6D44F23B5AA20CA66248E9E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