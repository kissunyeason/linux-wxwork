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3380" tabRatio="500" activeTab="2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<sst xmlns="http://schemas.openxmlformats.org/spreadsheetml/2006/main" count="166" uniqueCount="82">
  <si>
    <t>2026性化事业部初中2月5日课时日报表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</si>
  <si>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</si>
  <si>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</si>
  <si>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</si>
  <si>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</si>
  <si>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</si>
  <si>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</si>
  <si>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</si>
  <si>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</si>
  <si>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</si>
  <si>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</si>
  <si>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</si>
  <si>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</si>
  <si>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</si>
  <si>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</si>
  <si>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</si>
  <si>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</si>
  <si>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</si>
  <si>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</si>
  <si>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</si>
  <si>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</si>
  <si>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</si>
  <si>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</si>
  <si>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</si>
  <si>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</si>
  <si>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</si>
  <si>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</si>
  <si>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</si>
  <si>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</si>
  <si>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</si>
  <si>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</si>
  <si>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</si>
  <si>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</si>
  <si>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</si>
  <si>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</si>
  <si>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</si>
  <si>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</si>
  <si>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</si>
  <si>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初中英语</t>
  </si>
  <si>
    <t>齐雅晨</t>
  </si>
  <si>
    <t>刘泽华</t>
  </si>
  <si>
    <t>边卓</t>
  </si>
  <si>
    <t>郑帅</t>
  </si>
  <si>
    <t>师宏仙</t>
  </si>
  <si>
    <t>马雅静</t>
  </si>
  <si>
    <t>柳振慧</t>
  </si>
  <si>
    <t>王燕</t>
  </si>
  <si>
    <t>李宁萱</t>
  </si>
  <si>
    <t>李诗琪</t>
  </si>
  <si>
    <t>傅定康</t>
  </si>
  <si>
    <t>合计</t>
  </si>
  <si>
    <t>——</t>
  </si>
  <si>
    <t>\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</si>
  <si>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</si>
  <si>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</si>
  <si>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</si>
  <si>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</si>
  <si>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</si>
  <si>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</si>
  <si>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</si>
  <si>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董浩然</t>
  </si>
  <si>
    <t>临时请假</t>
  </si>
  <si>
    <t>是</t>
  </si>
  <si>
    <t>王子轩</t>
  </si>
  <si>
    <t>学校集中补课延迟一天</t>
  </si>
  <si>
    <t>否</t>
  </si>
  <si>
    <t>刘渊</t>
  </si>
  <si>
    <t>程裕彤</t>
  </si>
  <si>
    <t>发烧请假</t>
  </si>
  <si>
    <t>朱瑞明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</si>
  <si>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</si>
  <si>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</si>
  <si>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</si>
  <si>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</si>
  <si>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</si>
  <si>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</si>
  <si>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</si>
  <si>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</si>
  <si>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</si>
  <si>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尹通</t>
  </si>
  <si>
    <t>2月28日-3月5日</t>
  </si>
  <si>
    <t>杜先锋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</si>
</sst>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3" applyNumberFormat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8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5" fillId="0" borderId="7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colors>
    <mruColors>
      <color rgb="00FF8A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"/>
  <sheetViews>
    <sheetView workbookViewId="0">
      <selection activeCell="A3" sqref="A3:S13"/>
    </sheetView>
  </sheetViews>
  <sheetFormatPr defaultColWidth="11" defaultRowHeight="15.6"/>
  <cols>
    <col min="1" max="1" width="8.22727272727273" customWidth="1"/>
    <col min="2" max="4" width="9.61363636363636" customWidth="1"/>
    <col min="5" max="5" width="8.61363636363636" customWidth="1"/>
    <col min="6" max="8" width="8.68939393939394" customWidth="1"/>
    <col min="9" max="9" width="9.84848484848485" customWidth="1"/>
    <col min="10" max="10" width="12.1515151515152" customWidth="1"/>
    <col min="11" max="12" width="15.5378787878788" customWidth="1"/>
    <col min="13" max="13" width="15.3863636363636" customWidth="1"/>
    <col min="14" max="14" width="9.61363636363636" customWidth="1"/>
    <col min="15" max="36" width="6.15151515151515" customWidth="1"/>
  </cols>
  <sheetData>
    <row r="1" ht="17.4" spans="1:3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4.8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35" t="s">
        <v>16</v>
      </c>
      <c r="P2" s="35" t="s">
        <v>17</v>
      </c>
      <c r="Q2" s="35" t="s">
        <v>18</v>
      </c>
      <c r="R2" s="35" t="s">
        <v>19</v>
      </c>
      <c r="S2" s="35" t="s">
        <v>20</v>
      </c>
      <c r="T2" s="35" t="s">
        <v>21</v>
      </c>
      <c r="U2" s="35" t="s">
        <v>22</v>
      </c>
      <c r="V2" s="35" t="s">
        <v>23</v>
      </c>
      <c r="W2" s="35" t="s">
        <v>24</v>
      </c>
      <c r="X2" s="35" t="s">
        <v>25</v>
      </c>
      <c r="Y2" s="35" t="s">
        <v>26</v>
      </c>
      <c r="Z2" s="35" t="s">
        <v>27</v>
      </c>
      <c r="AA2" s="35" t="s">
        <v>28</v>
      </c>
      <c r="AB2" s="35" t="s">
        <v>29</v>
      </c>
      <c r="AC2" s="35" t="s">
        <v>30</v>
      </c>
      <c r="AD2" s="35" t="s">
        <v>31</v>
      </c>
      <c r="AE2" s="35" t="s">
        <v>32</v>
      </c>
      <c r="AF2" s="35" t="s">
        <v>33</v>
      </c>
      <c r="AG2" s="35" t="s">
        <v>34</v>
      </c>
      <c r="AH2" s="35" t="s">
        <v>35</v>
      </c>
      <c r="AI2" s="35" t="s">
        <v>36</v>
      </c>
      <c r="AJ2" s="35" t="s">
        <v>37</v>
      </c>
    </row>
    <row r="3" spans="1:36">
      <c r="A3" s="13" t="s">
        <v>38</v>
      </c>
      <c r="B3" s="13" t="s">
        <v>39</v>
      </c>
      <c r="C3" s="13">
        <v>9</v>
      </c>
      <c r="D3" s="13">
        <v>8</v>
      </c>
      <c r="E3" s="14">
        <f>D3/C3</f>
        <v>0.888888888888889</v>
      </c>
      <c r="F3" s="15">
        <v>8</v>
      </c>
      <c r="G3" s="15">
        <v>8</v>
      </c>
      <c r="H3" s="15">
        <v>8</v>
      </c>
      <c r="I3" s="13">
        <v>36</v>
      </c>
      <c r="J3" s="13">
        <v>3</v>
      </c>
      <c r="K3" s="13">
        <v>120</v>
      </c>
      <c r="L3" s="13">
        <v>28</v>
      </c>
      <c r="M3" s="13">
        <f>K3+L3</f>
        <v>148</v>
      </c>
      <c r="N3" s="13">
        <v>4</v>
      </c>
      <c r="O3" s="13">
        <v>8</v>
      </c>
      <c r="P3" s="15">
        <v>8</v>
      </c>
      <c r="Q3" s="15">
        <v>6</v>
      </c>
      <c r="R3" s="15">
        <v>6</v>
      </c>
      <c r="S3" s="15">
        <v>8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13" t="s">
        <v>38</v>
      </c>
      <c r="B4" s="13" t="s">
        <v>40</v>
      </c>
      <c r="C4" s="13">
        <v>6</v>
      </c>
      <c r="D4" s="13">
        <v>6</v>
      </c>
      <c r="E4" s="14">
        <f>D4/C4</f>
        <v>1</v>
      </c>
      <c r="F4" s="15">
        <v>10</v>
      </c>
      <c r="G4" s="15">
        <v>10</v>
      </c>
      <c r="H4" s="15">
        <v>10</v>
      </c>
      <c r="I4" s="13">
        <v>54</v>
      </c>
      <c r="J4" s="13">
        <v>1</v>
      </c>
      <c r="K4" s="13">
        <v>178</v>
      </c>
      <c r="L4" s="13">
        <v>24</v>
      </c>
      <c r="M4" s="13">
        <f>K4+L4</f>
        <v>202</v>
      </c>
      <c r="N4" s="13">
        <v>10</v>
      </c>
      <c r="O4" s="13">
        <v>12</v>
      </c>
      <c r="P4" s="15">
        <v>12</v>
      </c>
      <c r="Q4" s="15">
        <v>10</v>
      </c>
      <c r="R4" s="15">
        <v>10</v>
      </c>
      <c r="S4" s="15">
        <v>10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>
      <c r="A5" s="13" t="s">
        <v>38</v>
      </c>
      <c r="B5" s="13" t="s">
        <v>41</v>
      </c>
      <c r="C5" s="13">
        <v>6</v>
      </c>
      <c r="D5" s="13">
        <v>6</v>
      </c>
      <c r="E5" s="14">
        <f>D5/C5</f>
        <v>1</v>
      </c>
      <c r="F5" s="15">
        <v>10</v>
      </c>
      <c r="G5" s="15">
        <v>10</v>
      </c>
      <c r="H5" s="15">
        <v>10</v>
      </c>
      <c r="I5" s="13">
        <v>44</v>
      </c>
      <c r="J5" s="13">
        <v>6</v>
      </c>
      <c r="K5" s="13">
        <v>130</v>
      </c>
      <c r="L5" s="13">
        <v>10</v>
      </c>
      <c r="M5" s="13">
        <v>140</v>
      </c>
      <c r="N5" s="13">
        <v>12</v>
      </c>
      <c r="O5" s="13">
        <v>6</v>
      </c>
      <c r="P5" s="15">
        <v>8</v>
      </c>
      <c r="Q5" s="15">
        <v>10</v>
      </c>
      <c r="R5" s="15">
        <v>10</v>
      </c>
      <c r="S5" s="15">
        <v>10</v>
      </c>
      <c r="T5" s="13"/>
      <c r="U5" s="13"/>
      <c r="V5" s="15"/>
      <c r="W5" s="15"/>
      <c r="X5" s="15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>
      <c r="A6" s="13" t="s">
        <v>38</v>
      </c>
      <c r="B6" s="13" t="s">
        <v>42</v>
      </c>
      <c r="C6" s="13">
        <v>13</v>
      </c>
      <c r="D6" s="13">
        <v>12</v>
      </c>
      <c r="E6" s="14">
        <f t="shared" ref="E6:E14" si="0">D6/C6</f>
        <v>0.923076923076923</v>
      </c>
      <c r="F6" s="15">
        <v>8</v>
      </c>
      <c r="G6" s="15">
        <v>8</v>
      </c>
      <c r="H6" s="15">
        <v>8</v>
      </c>
      <c r="I6" s="13">
        <v>44</v>
      </c>
      <c r="J6" s="13">
        <v>3</v>
      </c>
      <c r="K6" s="13">
        <v>120</v>
      </c>
      <c r="L6" s="13">
        <v>15</v>
      </c>
      <c r="M6" s="13">
        <f t="shared" ref="M6:M13" si="1">K6+L6</f>
        <v>135</v>
      </c>
      <c r="N6" s="13">
        <v>8</v>
      </c>
      <c r="O6" s="13">
        <v>8</v>
      </c>
      <c r="P6" s="15">
        <v>8</v>
      </c>
      <c r="Q6" s="15">
        <v>10</v>
      </c>
      <c r="R6" s="15">
        <v>10</v>
      </c>
      <c r="S6" s="15">
        <v>8</v>
      </c>
      <c r="T6" s="13"/>
      <c r="U6" s="13"/>
      <c r="V6" s="15"/>
      <c r="W6" s="15"/>
      <c r="X6" s="15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>
      <c r="A7" s="13" t="s">
        <v>38</v>
      </c>
      <c r="B7" s="13" t="s">
        <v>43</v>
      </c>
      <c r="C7" s="13">
        <v>7</v>
      </c>
      <c r="D7" s="13">
        <v>5</v>
      </c>
      <c r="E7" s="14">
        <f t="shared" si="0"/>
        <v>0.714285714285714</v>
      </c>
      <c r="F7" s="15">
        <v>10</v>
      </c>
      <c r="G7" s="15">
        <v>10</v>
      </c>
      <c r="H7" s="15">
        <v>10</v>
      </c>
      <c r="I7" s="13">
        <v>48</v>
      </c>
      <c r="J7" s="13">
        <v>2</v>
      </c>
      <c r="K7" s="13">
        <v>150</v>
      </c>
      <c r="L7" s="13">
        <v>28</v>
      </c>
      <c r="M7" s="13">
        <f t="shared" si="1"/>
        <v>178</v>
      </c>
      <c r="N7" s="17">
        <v>4</v>
      </c>
      <c r="O7" s="13">
        <v>10</v>
      </c>
      <c r="P7" s="15">
        <v>8</v>
      </c>
      <c r="Q7" s="15">
        <v>10</v>
      </c>
      <c r="R7" s="15">
        <v>10</v>
      </c>
      <c r="S7" s="15">
        <v>10</v>
      </c>
      <c r="T7" s="13"/>
      <c r="U7" s="13"/>
      <c r="V7" s="15"/>
      <c r="W7" s="15"/>
      <c r="X7" s="15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>
      <c r="A8" s="13" t="s">
        <v>38</v>
      </c>
      <c r="B8" s="13" t="s">
        <v>44</v>
      </c>
      <c r="C8" s="13">
        <v>12</v>
      </c>
      <c r="D8" s="13">
        <v>10</v>
      </c>
      <c r="E8" s="14">
        <f t="shared" si="0"/>
        <v>0.833333333333333</v>
      </c>
      <c r="F8" s="15">
        <v>12</v>
      </c>
      <c r="G8" s="15">
        <v>12</v>
      </c>
      <c r="H8" s="15">
        <v>10</v>
      </c>
      <c r="I8" s="13">
        <v>44</v>
      </c>
      <c r="J8" s="13">
        <v>9</v>
      </c>
      <c r="K8" s="13">
        <v>130</v>
      </c>
      <c r="L8" s="13">
        <v>24</v>
      </c>
      <c r="M8" s="13">
        <f t="shared" si="1"/>
        <v>154</v>
      </c>
      <c r="N8" s="13">
        <v>8</v>
      </c>
      <c r="O8" s="13">
        <v>4</v>
      </c>
      <c r="P8" s="15">
        <v>8</v>
      </c>
      <c r="Q8" s="15">
        <v>12</v>
      </c>
      <c r="R8" s="15">
        <v>8</v>
      </c>
      <c r="S8" s="15">
        <v>12</v>
      </c>
      <c r="T8" s="13"/>
      <c r="U8" s="13"/>
      <c r="V8" s="15"/>
      <c r="W8" s="15"/>
      <c r="X8" s="15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>
      <c r="A9" s="13" t="s">
        <v>38</v>
      </c>
      <c r="B9" s="13" t="s">
        <v>45</v>
      </c>
      <c r="C9" s="13">
        <v>9</v>
      </c>
      <c r="D9" s="13">
        <v>6</v>
      </c>
      <c r="E9" s="14">
        <f t="shared" si="0"/>
        <v>0.666666666666667</v>
      </c>
      <c r="F9" s="15">
        <v>6</v>
      </c>
      <c r="G9" s="15">
        <v>6</v>
      </c>
      <c r="H9" s="15">
        <v>6</v>
      </c>
      <c r="I9" s="13">
        <v>20</v>
      </c>
      <c r="J9" s="13">
        <v>11</v>
      </c>
      <c r="K9" s="13">
        <v>100</v>
      </c>
      <c r="L9" s="13">
        <v>20</v>
      </c>
      <c r="M9" s="13">
        <f t="shared" si="1"/>
        <v>120</v>
      </c>
      <c r="N9" s="13">
        <v>7</v>
      </c>
      <c r="O9" s="13">
        <v>3.5</v>
      </c>
      <c r="P9" s="15">
        <v>6</v>
      </c>
      <c r="Q9" s="15">
        <v>2</v>
      </c>
      <c r="R9" s="15">
        <v>4</v>
      </c>
      <c r="S9" s="15">
        <v>6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>
      <c r="A10" s="13" t="s">
        <v>38</v>
      </c>
      <c r="B10" s="13" t="s">
        <v>46</v>
      </c>
      <c r="C10" s="13">
        <v>9</v>
      </c>
      <c r="D10" s="13">
        <v>9</v>
      </c>
      <c r="E10" s="14">
        <f t="shared" si="0"/>
        <v>1</v>
      </c>
      <c r="F10" s="15">
        <v>10</v>
      </c>
      <c r="G10" s="15">
        <v>10</v>
      </c>
      <c r="H10" s="15">
        <v>6</v>
      </c>
      <c r="I10" s="13">
        <v>38</v>
      </c>
      <c r="J10" s="13">
        <v>6</v>
      </c>
      <c r="K10" s="13">
        <v>120</v>
      </c>
      <c r="L10" s="13">
        <v>18</v>
      </c>
      <c r="M10" s="13">
        <f t="shared" si="1"/>
        <v>138</v>
      </c>
      <c r="N10" s="13">
        <v>6</v>
      </c>
      <c r="O10" s="13">
        <v>6</v>
      </c>
      <c r="P10" s="15">
        <v>8</v>
      </c>
      <c r="Q10" s="15">
        <v>8</v>
      </c>
      <c r="R10" s="15">
        <v>6</v>
      </c>
      <c r="S10" s="15">
        <v>10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>
      <c r="A11" s="13" t="s">
        <v>38</v>
      </c>
      <c r="B11" s="13" t="s">
        <v>47</v>
      </c>
      <c r="C11" s="13">
        <v>10</v>
      </c>
      <c r="D11" s="13">
        <v>9</v>
      </c>
      <c r="E11" s="14">
        <f t="shared" si="0"/>
        <v>0.9</v>
      </c>
      <c r="F11" s="13">
        <v>8</v>
      </c>
      <c r="G11" s="13">
        <v>8</v>
      </c>
      <c r="H11" s="13">
        <v>8</v>
      </c>
      <c r="I11" s="13">
        <v>40</v>
      </c>
      <c r="J11" s="13">
        <v>6</v>
      </c>
      <c r="K11" s="13">
        <v>148</v>
      </c>
      <c r="L11" s="13">
        <v>24</v>
      </c>
      <c r="M11" s="13">
        <f t="shared" si="1"/>
        <v>172</v>
      </c>
      <c r="N11" s="13">
        <v>0</v>
      </c>
      <c r="O11" s="13">
        <v>6</v>
      </c>
      <c r="P11" s="13">
        <v>6</v>
      </c>
      <c r="Q11" s="13">
        <v>10</v>
      </c>
      <c r="R11" s="13">
        <v>10</v>
      </c>
      <c r="S11" s="13">
        <v>8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>
      <c r="A12" s="13" t="s">
        <v>38</v>
      </c>
      <c r="B12" s="13" t="s">
        <v>48</v>
      </c>
      <c r="C12" s="13">
        <v>7</v>
      </c>
      <c r="D12" s="13">
        <v>6</v>
      </c>
      <c r="E12" s="14">
        <f t="shared" si="0"/>
        <v>0.857142857142857</v>
      </c>
      <c r="F12" s="13">
        <v>8</v>
      </c>
      <c r="G12" s="13">
        <v>8</v>
      </c>
      <c r="H12" s="13">
        <v>10</v>
      </c>
      <c r="I12" s="13">
        <v>36</v>
      </c>
      <c r="J12" s="13">
        <v>10</v>
      </c>
      <c r="K12" s="13">
        <v>156</v>
      </c>
      <c r="L12" s="13">
        <v>26</v>
      </c>
      <c r="M12" s="13">
        <f t="shared" si="1"/>
        <v>182</v>
      </c>
      <c r="N12" s="13">
        <v>0</v>
      </c>
      <c r="O12" s="13">
        <v>6</v>
      </c>
      <c r="P12" s="13">
        <v>6</v>
      </c>
      <c r="Q12" s="13">
        <v>8</v>
      </c>
      <c r="R12" s="13">
        <v>8</v>
      </c>
      <c r="S12" s="13">
        <v>8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>
      <c r="A13" s="13" t="s">
        <v>38</v>
      </c>
      <c r="B13" s="13" t="s">
        <v>49</v>
      </c>
      <c r="C13" s="13">
        <v>4</v>
      </c>
      <c r="D13" s="13">
        <v>4</v>
      </c>
      <c r="E13" s="14">
        <f t="shared" si="0"/>
        <v>1</v>
      </c>
      <c r="F13" s="13">
        <v>8</v>
      </c>
      <c r="G13" s="13">
        <v>8</v>
      </c>
      <c r="H13" s="13">
        <v>8</v>
      </c>
      <c r="I13" s="13">
        <v>38</v>
      </c>
      <c r="J13" s="13">
        <v>6</v>
      </c>
      <c r="K13" s="13">
        <v>98</v>
      </c>
      <c r="L13" s="13">
        <v>4</v>
      </c>
      <c r="M13" s="13">
        <f t="shared" si="1"/>
        <v>102</v>
      </c>
      <c r="N13" s="13">
        <v>2</v>
      </c>
      <c r="O13" s="13">
        <v>4</v>
      </c>
      <c r="P13" s="13">
        <v>8</v>
      </c>
      <c r="Q13" s="13">
        <v>10</v>
      </c>
      <c r="R13" s="13">
        <v>8</v>
      </c>
      <c r="S13" s="13">
        <v>8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>
      <c r="A14" s="29" t="s">
        <v>50</v>
      </c>
      <c r="B14" s="30"/>
      <c r="C14" s="31">
        <f>SUM(C3:C13)</f>
        <v>92</v>
      </c>
      <c r="D14" s="31">
        <f>SUM(D3:D13)</f>
        <v>81</v>
      </c>
      <c r="E14" s="32">
        <f t="shared" si="0"/>
        <v>0.880434782608696</v>
      </c>
      <c r="F14" s="31">
        <f>SUM(F3:F13)</f>
        <v>98</v>
      </c>
      <c r="G14" s="31">
        <f>SUM(G3:G13)</f>
        <v>98</v>
      </c>
      <c r="H14" s="31">
        <f>SUM(H3:H13)</f>
        <v>94</v>
      </c>
      <c r="I14" s="31">
        <f>SUM(I3:I13)</f>
        <v>442</v>
      </c>
      <c r="J14" s="33" t="s">
        <v>51</v>
      </c>
      <c r="K14" s="33">
        <f>SUM(K3:K13)</f>
        <v>1450</v>
      </c>
      <c r="L14" s="33">
        <f>SUM(L3:L13)</f>
        <v>221</v>
      </c>
      <c r="M14" s="33">
        <f>SUM(M3:M13)</f>
        <v>1671</v>
      </c>
      <c r="N14" s="33">
        <f>SUM(N3:N13)</f>
        <v>61</v>
      </c>
      <c r="O14" s="33">
        <f>SUM(O3:O13)</f>
        <v>73.5</v>
      </c>
      <c r="P14" s="33">
        <f t="shared" ref="P14:AN14" si="2">SUM(P3:P13)</f>
        <v>86</v>
      </c>
      <c r="Q14" s="33">
        <f t="shared" si="2"/>
        <v>96</v>
      </c>
      <c r="R14" s="31">
        <f t="shared" si="2"/>
        <v>90</v>
      </c>
      <c r="S14" s="31">
        <f t="shared" si="2"/>
        <v>98</v>
      </c>
      <c r="T14" s="33">
        <f t="shared" si="2"/>
        <v>0</v>
      </c>
      <c r="U14" s="33">
        <f t="shared" si="2"/>
        <v>0</v>
      </c>
      <c r="V14" s="33">
        <f t="shared" si="2"/>
        <v>0</v>
      </c>
      <c r="W14" s="33">
        <f t="shared" si="2"/>
        <v>0</v>
      </c>
      <c r="X14" s="33">
        <f t="shared" si="2"/>
        <v>0</v>
      </c>
      <c r="Y14" s="33">
        <f t="shared" si="2"/>
        <v>0</v>
      </c>
      <c r="Z14" s="33">
        <f t="shared" si="2"/>
        <v>0</v>
      </c>
      <c r="AA14" s="33">
        <f t="shared" si="2"/>
        <v>0</v>
      </c>
      <c r="AB14" s="33">
        <f t="shared" si="2"/>
        <v>0</v>
      </c>
      <c r="AC14" s="34">
        <f t="shared" si="2"/>
        <v>0</v>
      </c>
      <c r="AD14" s="34">
        <f t="shared" si="2"/>
        <v>0</v>
      </c>
      <c r="AE14" s="34">
        <f t="shared" si="2"/>
        <v>0</v>
      </c>
      <c r="AF14" s="34">
        <f t="shared" si="2"/>
        <v>0</v>
      </c>
      <c r="AG14" s="34">
        <f t="shared" si="2"/>
        <v>0</v>
      </c>
      <c r="AH14" s="34">
        <f t="shared" si="2"/>
        <v>0</v>
      </c>
      <c r="AI14" s="34">
        <f t="shared" si="2"/>
        <v>0</v>
      </c>
      <c r="AJ14" s="34">
        <f t="shared" si="2"/>
        <v>0</v>
      </c>
    </row>
    <row r="19" spans="10:10">
      <c r="J19" t="s">
        <v>52</v>
      </c>
    </row>
  </sheetData>
  <sortState ref="A2:AL13">
    <sortCondition ref="I2:I13" descending="1"/>
  </sortState>
  <mergeCells count="3">
    <mergeCell ref="A1:M1"/>
    <mergeCell ref="O1:AJ1"/>
    <mergeCell ref="A14:B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zoomScale="115" zoomScaleNormal="115" workbookViewId="0">
      <selection activeCell="N18" sqref="N18"/>
    </sheetView>
  </sheetViews>
  <sheetFormatPr defaultColWidth="9.07575757575758" defaultRowHeight="15.6"/>
  <cols>
    <col min="3" max="5" width="8" customWidth="1"/>
    <col min="6" max="8" width="8.15151515151515" customWidth="1"/>
    <col min="9" max="9" width="10.3106060606061" customWidth="1"/>
    <col min="10" max="10" width="12" customWidth="1"/>
    <col min="11" max="13" width="14.4621212121212" customWidth="1"/>
    <col min="14" max="14" width="9.92424242424242" customWidth="1"/>
    <col min="15" max="18" width="6.92424242424242" customWidth="1"/>
  </cols>
  <sheetData>
    <row r="1" ht="18.15" spans="1:3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4.8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36" t="s">
        <v>16</v>
      </c>
      <c r="P2" s="37" t="s">
        <v>17</v>
      </c>
      <c r="Q2" s="37" t="s">
        <v>18</v>
      </c>
      <c r="R2" s="37" t="s">
        <v>19</v>
      </c>
      <c r="S2" s="37" t="s">
        <v>20</v>
      </c>
      <c r="T2" s="37" t="s">
        <v>21</v>
      </c>
      <c r="U2" s="37" t="s">
        <v>22</v>
      </c>
      <c r="V2" s="37" t="s">
        <v>23</v>
      </c>
      <c r="W2" s="37" t="s">
        <v>24</v>
      </c>
      <c r="X2" s="37" t="s">
        <v>25</v>
      </c>
      <c r="Y2" s="37" t="s">
        <v>26</v>
      </c>
      <c r="Z2" s="37" t="s">
        <v>27</v>
      </c>
      <c r="AA2" s="37" t="s">
        <v>28</v>
      </c>
      <c r="AB2" s="37" t="s">
        <v>29</v>
      </c>
      <c r="AC2" s="37" t="s">
        <v>30</v>
      </c>
      <c r="AD2" s="37" t="s">
        <v>31</v>
      </c>
      <c r="AE2" s="37" t="s">
        <v>32</v>
      </c>
      <c r="AF2" s="37" t="s">
        <v>33</v>
      </c>
      <c r="AG2" s="37" t="s">
        <v>34</v>
      </c>
      <c r="AH2" s="37" t="s">
        <v>35</v>
      </c>
      <c r="AI2" s="37" t="s">
        <v>36</v>
      </c>
      <c r="AJ2" s="38" t="s">
        <v>37</v>
      </c>
    </row>
    <row r="3" ht="19" customHeight="1" spans="1:36">
      <c r="A3" s="13" t="s">
        <v>38</v>
      </c>
      <c r="B3" s="13" t="s">
        <v>39</v>
      </c>
      <c r="C3" s="13">
        <v>9</v>
      </c>
      <c r="D3" s="13">
        <v>8</v>
      </c>
      <c r="E3" s="14">
        <f t="shared" ref="E3:E13" si="0">D3/C3</f>
        <v>0.888888888888889</v>
      </c>
      <c r="F3" s="15">
        <v>8</v>
      </c>
      <c r="G3" s="15">
        <v>8</v>
      </c>
      <c r="H3" s="15">
        <v>8</v>
      </c>
      <c r="I3" s="13">
        <v>36</v>
      </c>
      <c r="J3" s="13">
        <v>3</v>
      </c>
      <c r="K3" s="13">
        <v>120</v>
      </c>
      <c r="L3" s="13">
        <v>28</v>
      </c>
      <c r="M3" s="13">
        <f t="shared" ref="M3:M13" si="1">K3+L3</f>
        <v>148</v>
      </c>
      <c r="N3" s="13">
        <v>4</v>
      </c>
      <c r="O3" s="13">
        <v>8</v>
      </c>
      <c r="P3" s="15">
        <v>8</v>
      </c>
      <c r="Q3" s="15">
        <v>6</v>
      </c>
      <c r="R3" s="15">
        <v>6</v>
      </c>
      <c r="S3" s="15">
        <v>8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6"/>
    </row>
    <row r="4" ht="19" customHeight="1" spans="1:36">
      <c r="A4" s="13" t="s">
        <v>38</v>
      </c>
      <c r="B4" s="13" t="s">
        <v>40</v>
      </c>
      <c r="C4" s="13">
        <v>6</v>
      </c>
      <c r="D4" s="13">
        <v>6</v>
      </c>
      <c r="E4" s="14">
        <f t="shared" si="0"/>
        <v>1</v>
      </c>
      <c r="F4" s="15">
        <v>10</v>
      </c>
      <c r="G4" s="15">
        <v>10</v>
      </c>
      <c r="H4" s="15">
        <v>10</v>
      </c>
      <c r="I4" s="13">
        <v>54</v>
      </c>
      <c r="J4" s="13">
        <v>1</v>
      </c>
      <c r="K4" s="13">
        <v>178</v>
      </c>
      <c r="L4" s="13">
        <v>24</v>
      </c>
      <c r="M4" s="13">
        <f t="shared" si="1"/>
        <v>202</v>
      </c>
      <c r="N4" s="13">
        <v>10</v>
      </c>
      <c r="O4" s="13">
        <v>12</v>
      </c>
      <c r="P4" s="15">
        <v>12</v>
      </c>
      <c r="Q4" s="15">
        <v>10</v>
      </c>
      <c r="R4" s="15">
        <v>10</v>
      </c>
      <c r="S4" s="15">
        <v>10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6"/>
    </row>
    <row r="5" ht="19" customHeight="1" spans="1:36">
      <c r="A5" s="13" t="s">
        <v>38</v>
      </c>
      <c r="B5" s="13" t="s">
        <v>41</v>
      </c>
      <c r="C5" s="13">
        <v>6</v>
      </c>
      <c r="D5" s="13">
        <v>6</v>
      </c>
      <c r="E5" s="14">
        <f t="shared" si="0"/>
        <v>1</v>
      </c>
      <c r="F5" s="15">
        <v>10</v>
      </c>
      <c r="G5" s="15">
        <v>10</v>
      </c>
      <c r="H5" s="15">
        <v>10</v>
      </c>
      <c r="I5" s="13">
        <v>44</v>
      </c>
      <c r="J5" s="13">
        <v>6</v>
      </c>
      <c r="K5" s="13">
        <v>130</v>
      </c>
      <c r="L5" s="13">
        <v>10</v>
      </c>
      <c r="M5" s="13">
        <v>140</v>
      </c>
      <c r="N5" s="13">
        <v>12</v>
      </c>
      <c r="O5" s="13">
        <v>6</v>
      </c>
      <c r="P5" s="15">
        <v>8</v>
      </c>
      <c r="Q5" s="15">
        <v>10</v>
      </c>
      <c r="R5" s="15">
        <v>10</v>
      </c>
      <c r="S5" s="15">
        <v>10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6"/>
    </row>
    <row r="6" ht="19" customHeight="1" spans="1:36">
      <c r="A6" s="13" t="s">
        <v>38</v>
      </c>
      <c r="B6" s="13" t="s">
        <v>42</v>
      </c>
      <c r="C6" s="13">
        <v>13</v>
      </c>
      <c r="D6" s="13">
        <v>12</v>
      </c>
      <c r="E6" s="14">
        <f t="shared" si="0"/>
        <v>0.923076923076923</v>
      </c>
      <c r="F6" s="15">
        <v>8</v>
      </c>
      <c r="G6" s="15">
        <v>8</v>
      </c>
      <c r="H6" s="15">
        <v>8</v>
      </c>
      <c r="I6" s="13">
        <v>44</v>
      </c>
      <c r="J6" s="13">
        <v>3</v>
      </c>
      <c r="K6" s="13">
        <v>120</v>
      </c>
      <c r="L6" s="13">
        <v>15</v>
      </c>
      <c r="M6" s="13">
        <f t="shared" si="1"/>
        <v>135</v>
      </c>
      <c r="N6" s="13">
        <v>8</v>
      </c>
      <c r="O6" s="13">
        <v>8</v>
      </c>
      <c r="P6" s="15">
        <v>8</v>
      </c>
      <c r="Q6" s="15">
        <v>10</v>
      </c>
      <c r="R6" s="15">
        <v>10</v>
      </c>
      <c r="S6" s="15">
        <v>8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6"/>
    </row>
    <row r="7" ht="19" customHeight="1" spans="1:36">
      <c r="A7" s="13" t="s">
        <v>38</v>
      </c>
      <c r="B7" s="13" t="s">
        <v>43</v>
      </c>
      <c r="C7" s="13">
        <v>7</v>
      </c>
      <c r="D7" s="13">
        <v>5</v>
      </c>
      <c r="E7" s="14">
        <f t="shared" si="0"/>
        <v>0.714285714285714</v>
      </c>
      <c r="F7" s="15">
        <v>10</v>
      </c>
      <c r="G7" s="15">
        <v>10</v>
      </c>
      <c r="H7" s="15">
        <v>10</v>
      </c>
      <c r="I7" s="13">
        <v>48</v>
      </c>
      <c r="J7" s="13">
        <v>2</v>
      </c>
      <c r="K7" s="13">
        <v>150</v>
      </c>
      <c r="L7" s="13">
        <v>28</v>
      </c>
      <c r="M7" s="13">
        <f t="shared" si="1"/>
        <v>178</v>
      </c>
      <c r="N7" s="17">
        <v>4</v>
      </c>
      <c r="O7" s="13">
        <v>10</v>
      </c>
      <c r="P7" s="15">
        <v>8</v>
      </c>
      <c r="Q7" s="15">
        <v>10</v>
      </c>
      <c r="R7" s="15">
        <v>10</v>
      </c>
      <c r="S7" s="15">
        <v>10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6"/>
    </row>
    <row r="8" ht="19" customHeight="1" spans="1:36">
      <c r="A8" s="13" t="s">
        <v>38</v>
      </c>
      <c r="B8" s="13" t="s">
        <v>44</v>
      </c>
      <c r="C8" s="13">
        <v>12</v>
      </c>
      <c r="D8" s="13">
        <v>10</v>
      </c>
      <c r="E8" s="14">
        <f t="shared" si="0"/>
        <v>0.833333333333333</v>
      </c>
      <c r="F8" s="15">
        <v>12</v>
      </c>
      <c r="G8" s="15">
        <v>12</v>
      </c>
      <c r="H8" s="15">
        <v>10</v>
      </c>
      <c r="I8" s="13">
        <v>44</v>
      </c>
      <c r="J8" s="13">
        <v>9</v>
      </c>
      <c r="K8" s="13">
        <v>130</v>
      </c>
      <c r="L8" s="13">
        <v>24</v>
      </c>
      <c r="M8" s="13">
        <f t="shared" si="1"/>
        <v>154</v>
      </c>
      <c r="N8" s="13">
        <v>8</v>
      </c>
      <c r="O8" s="13">
        <v>4</v>
      </c>
      <c r="P8" s="15">
        <v>8</v>
      </c>
      <c r="Q8" s="15">
        <v>12</v>
      </c>
      <c r="R8" s="15">
        <v>8</v>
      </c>
      <c r="S8" s="15">
        <v>12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6"/>
    </row>
    <row r="9" ht="19" customHeight="1" spans="1:36">
      <c r="A9" s="13" t="s">
        <v>38</v>
      </c>
      <c r="B9" s="13" t="s">
        <v>45</v>
      </c>
      <c r="C9" s="13">
        <v>9</v>
      </c>
      <c r="D9" s="13">
        <v>6</v>
      </c>
      <c r="E9" s="14">
        <f t="shared" si="0"/>
        <v>0.666666666666667</v>
      </c>
      <c r="F9" s="15">
        <v>6</v>
      </c>
      <c r="G9" s="15">
        <v>6</v>
      </c>
      <c r="H9" s="15">
        <v>6</v>
      </c>
      <c r="I9" s="13">
        <v>20</v>
      </c>
      <c r="J9" s="13">
        <v>11</v>
      </c>
      <c r="K9" s="13">
        <v>100</v>
      </c>
      <c r="L9" s="13">
        <v>20</v>
      </c>
      <c r="M9" s="13">
        <f t="shared" si="1"/>
        <v>120</v>
      </c>
      <c r="N9" s="13">
        <v>7</v>
      </c>
      <c r="O9" s="13">
        <v>3.5</v>
      </c>
      <c r="P9" s="15">
        <v>6</v>
      </c>
      <c r="Q9" s="15">
        <v>2</v>
      </c>
      <c r="R9" s="15">
        <v>4</v>
      </c>
      <c r="S9" s="15">
        <v>6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6"/>
    </row>
    <row r="10" ht="19" customHeight="1" spans="1:36">
      <c r="A10" s="13" t="s">
        <v>38</v>
      </c>
      <c r="B10" s="13" t="s">
        <v>46</v>
      </c>
      <c r="C10" s="13">
        <v>9</v>
      </c>
      <c r="D10" s="13">
        <v>9</v>
      </c>
      <c r="E10" s="14">
        <f t="shared" si="0"/>
        <v>1</v>
      </c>
      <c r="F10" s="15">
        <v>10</v>
      </c>
      <c r="G10" s="15">
        <v>10</v>
      </c>
      <c r="H10" s="15">
        <v>6</v>
      </c>
      <c r="I10" s="13">
        <v>38</v>
      </c>
      <c r="J10" s="13">
        <v>6</v>
      </c>
      <c r="K10" s="13">
        <v>120</v>
      </c>
      <c r="L10" s="13">
        <v>18</v>
      </c>
      <c r="M10" s="13">
        <f t="shared" si="1"/>
        <v>138</v>
      </c>
      <c r="N10" s="13">
        <v>6</v>
      </c>
      <c r="O10" s="13">
        <v>6</v>
      </c>
      <c r="P10" s="15">
        <v>8</v>
      </c>
      <c r="Q10" s="15">
        <v>8</v>
      </c>
      <c r="R10" s="15">
        <v>6</v>
      </c>
      <c r="S10" s="15">
        <v>10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6"/>
    </row>
    <row r="11" ht="19" customHeight="1" spans="1:36">
      <c r="A11" s="13" t="s">
        <v>38</v>
      </c>
      <c r="B11" s="13" t="s">
        <v>47</v>
      </c>
      <c r="C11" s="13">
        <v>10</v>
      </c>
      <c r="D11" s="13">
        <v>9</v>
      </c>
      <c r="E11" s="14">
        <f t="shared" si="0"/>
        <v>0.9</v>
      </c>
      <c r="F11" s="13">
        <v>8</v>
      </c>
      <c r="G11" s="13">
        <v>8</v>
      </c>
      <c r="H11" s="13">
        <v>8</v>
      </c>
      <c r="I11" s="13">
        <v>40</v>
      </c>
      <c r="J11" s="13">
        <v>6</v>
      </c>
      <c r="K11" s="13">
        <v>148</v>
      </c>
      <c r="L11" s="13">
        <v>24</v>
      </c>
      <c r="M11" s="13">
        <f t="shared" si="1"/>
        <v>172</v>
      </c>
      <c r="N11" s="13">
        <v>0</v>
      </c>
      <c r="O11" s="13">
        <v>6</v>
      </c>
      <c r="P11" s="13">
        <v>6</v>
      </c>
      <c r="Q11" s="13">
        <v>10</v>
      </c>
      <c r="R11" s="13">
        <v>10</v>
      </c>
      <c r="S11" s="13">
        <v>8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6"/>
    </row>
    <row r="12" ht="19" customHeight="1" spans="1:36">
      <c r="A12" s="13" t="s">
        <v>38</v>
      </c>
      <c r="B12" s="13" t="s">
        <v>48</v>
      </c>
      <c r="C12" s="13">
        <v>7</v>
      </c>
      <c r="D12" s="13">
        <v>6</v>
      </c>
      <c r="E12" s="14">
        <f t="shared" si="0"/>
        <v>0.857142857142857</v>
      </c>
      <c r="F12" s="13">
        <v>8</v>
      </c>
      <c r="G12" s="13">
        <v>8</v>
      </c>
      <c r="H12" s="13">
        <v>10</v>
      </c>
      <c r="I12" s="13">
        <v>36</v>
      </c>
      <c r="J12" s="13">
        <v>10</v>
      </c>
      <c r="K12" s="13">
        <v>156</v>
      </c>
      <c r="L12" s="13">
        <v>26</v>
      </c>
      <c r="M12" s="13">
        <f t="shared" si="1"/>
        <v>182</v>
      </c>
      <c r="N12" s="13">
        <v>0</v>
      </c>
      <c r="O12" s="13">
        <v>6</v>
      </c>
      <c r="P12" s="13">
        <v>6</v>
      </c>
      <c r="Q12" s="13">
        <v>8</v>
      </c>
      <c r="R12" s="13">
        <v>8</v>
      </c>
      <c r="S12" s="13">
        <v>8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6"/>
    </row>
    <row r="13" ht="19" customHeight="1" spans="1:36">
      <c r="A13" s="13" t="s">
        <v>38</v>
      </c>
      <c r="B13" s="13" t="s">
        <v>49</v>
      </c>
      <c r="C13" s="13">
        <v>4</v>
      </c>
      <c r="D13" s="13">
        <v>4</v>
      </c>
      <c r="E13" s="14">
        <f t="shared" si="0"/>
        <v>1</v>
      </c>
      <c r="F13" s="13">
        <v>8</v>
      </c>
      <c r="G13" s="13">
        <v>8</v>
      </c>
      <c r="H13" s="13">
        <v>8</v>
      </c>
      <c r="I13" s="13">
        <v>38</v>
      </c>
      <c r="J13" s="13">
        <v>6</v>
      </c>
      <c r="K13" s="13">
        <v>98</v>
      </c>
      <c r="L13" s="13">
        <v>4</v>
      </c>
      <c r="M13" s="13">
        <f t="shared" si="1"/>
        <v>102</v>
      </c>
      <c r="N13" s="13">
        <v>2</v>
      </c>
      <c r="O13" s="13">
        <v>4</v>
      </c>
      <c r="P13" s="13">
        <v>8</v>
      </c>
      <c r="Q13" s="13">
        <v>10</v>
      </c>
      <c r="R13" s="13">
        <v>8</v>
      </c>
      <c r="S13" s="13">
        <v>8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6"/>
    </row>
    <row r="14" ht="19" customHeight="1" spans="1:36">
      <c r="A14" s="18"/>
      <c r="B14" s="15"/>
      <c r="C14" s="15"/>
      <c r="D14" s="15"/>
      <c r="E14" s="19"/>
      <c r="F14" s="15"/>
      <c r="G14" s="15"/>
      <c r="H14" s="15"/>
      <c r="I14" s="15"/>
      <c r="J14" s="15"/>
      <c r="K14" s="15"/>
      <c r="L14" s="15"/>
      <c r="M14" s="15"/>
      <c r="N14" s="20"/>
      <c r="O14" s="18"/>
      <c r="P14" s="15"/>
      <c r="Q14" s="15"/>
      <c r="R14" s="15"/>
      <c r="S14" s="15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6"/>
    </row>
    <row r="15" ht="19" customHeight="1" spans="1:36">
      <c r="A15" s="18"/>
      <c r="B15" s="15"/>
      <c r="C15" s="15"/>
      <c r="D15" s="15"/>
      <c r="E15" s="19"/>
      <c r="F15" s="15"/>
      <c r="G15" s="15"/>
      <c r="H15" s="15"/>
      <c r="I15" s="15"/>
      <c r="J15" s="15"/>
      <c r="K15" s="15"/>
      <c r="L15" s="15"/>
      <c r="M15" s="15"/>
      <c r="N15" s="20"/>
      <c r="O15" s="18"/>
      <c r="P15" s="15"/>
      <c r="Q15" s="15"/>
      <c r="R15" s="15"/>
      <c r="S15" s="15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6"/>
    </row>
    <row r="16" ht="19" customHeight="1" spans="1:36">
      <c r="A16" s="18"/>
      <c r="B16" s="15"/>
      <c r="C16" s="15"/>
      <c r="D16" s="15"/>
      <c r="E16" s="19"/>
      <c r="F16" s="15"/>
      <c r="G16" s="15"/>
      <c r="H16" s="15"/>
      <c r="I16" s="15"/>
      <c r="J16" s="15"/>
      <c r="K16" s="15"/>
      <c r="L16" s="15"/>
      <c r="M16" s="15"/>
      <c r="N16" s="20"/>
      <c r="O16" s="18"/>
      <c r="P16" s="15"/>
      <c r="Q16" s="15"/>
      <c r="R16" s="15"/>
      <c r="S16" s="15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6"/>
    </row>
    <row r="17" ht="19" customHeight="1" spans="1:36">
      <c r="A17" s="18"/>
      <c r="B17" s="15"/>
      <c r="C17" s="15"/>
      <c r="D17" s="15"/>
      <c r="E17" s="19"/>
      <c r="F17" s="15"/>
      <c r="G17" s="15"/>
      <c r="H17" s="15"/>
      <c r="I17" s="15"/>
      <c r="J17" s="15"/>
      <c r="K17" s="15"/>
      <c r="L17" s="15"/>
      <c r="M17" s="15"/>
      <c r="N17" s="20"/>
      <c r="O17" s="18"/>
      <c r="P17" s="15"/>
      <c r="Q17" s="15"/>
      <c r="R17" s="15"/>
      <c r="S17" s="15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6"/>
    </row>
    <row r="18" ht="19" customHeight="1" spans="1:36">
      <c r="A18" s="18"/>
      <c r="B18" s="15"/>
      <c r="C18" s="15"/>
      <c r="D18" s="15"/>
      <c r="E18" s="19"/>
      <c r="F18" s="15"/>
      <c r="G18" s="15"/>
      <c r="H18" s="15"/>
      <c r="I18" s="15"/>
      <c r="J18" s="15"/>
      <c r="K18" s="15"/>
      <c r="L18" s="15"/>
      <c r="M18" s="15"/>
      <c r="N18" s="20"/>
      <c r="O18" s="18"/>
      <c r="P18" s="15"/>
      <c r="Q18" s="15"/>
      <c r="R18" s="15"/>
      <c r="S18" s="15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6"/>
    </row>
    <row r="19" ht="19" customHeight="1" spans="1:36">
      <c r="A19" s="18"/>
      <c r="B19" s="15"/>
      <c r="C19" s="15"/>
      <c r="D19" s="15"/>
      <c r="E19" s="19"/>
      <c r="F19" s="15"/>
      <c r="G19" s="15"/>
      <c r="H19" s="15"/>
      <c r="I19" s="15"/>
      <c r="J19" s="15"/>
      <c r="K19" s="15"/>
      <c r="L19" s="15"/>
      <c r="M19" s="15"/>
      <c r="N19" s="20"/>
      <c r="O19" s="18"/>
      <c r="P19" s="15"/>
      <c r="Q19" s="15"/>
      <c r="R19" s="15"/>
      <c r="S19" s="15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6"/>
    </row>
    <row r="20" ht="19" customHeight="1" spans="1:36">
      <c r="A20" s="18"/>
      <c r="B20" s="15"/>
      <c r="C20" s="15"/>
      <c r="D20" s="15"/>
      <c r="E20" s="19"/>
      <c r="F20" s="15"/>
      <c r="G20" s="15"/>
      <c r="H20" s="15"/>
      <c r="I20" s="15"/>
      <c r="J20" s="15"/>
      <c r="K20" s="15"/>
      <c r="L20" s="15"/>
      <c r="M20" s="15"/>
      <c r="N20" s="20"/>
      <c r="O20" s="18"/>
      <c r="P20" s="15"/>
      <c r="Q20" s="15"/>
      <c r="R20" s="15"/>
      <c r="S20" s="15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6"/>
    </row>
    <row r="21" ht="19" customHeight="1" spans="1:36">
      <c r="A21" s="18"/>
      <c r="B21" s="15"/>
      <c r="C21" s="15"/>
      <c r="D21" s="15"/>
      <c r="E21" s="19"/>
      <c r="F21" s="15"/>
      <c r="G21" s="15"/>
      <c r="H21" s="15"/>
      <c r="I21" s="15"/>
      <c r="J21" s="15"/>
      <c r="K21" s="15"/>
      <c r="L21" s="15"/>
      <c r="M21" s="15"/>
      <c r="N21" s="20"/>
      <c r="O21" s="18"/>
      <c r="P21" s="15"/>
      <c r="Q21" s="15"/>
      <c r="R21" s="15"/>
      <c r="S21" s="15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6"/>
    </row>
    <row r="22" ht="19" customHeight="1" spans="1:36">
      <c r="A22" s="18"/>
      <c r="B22" s="15"/>
      <c r="C22" s="15"/>
      <c r="D22" s="15"/>
      <c r="E22" s="19"/>
      <c r="F22" s="15"/>
      <c r="G22" s="15"/>
      <c r="H22" s="15"/>
      <c r="I22" s="15"/>
      <c r="J22" s="15"/>
      <c r="K22" s="15"/>
      <c r="L22" s="15"/>
      <c r="M22" s="15"/>
      <c r="N22" s="20"/>
      <c r="O22" s="18"/>
      <c r="P22" s="15"/>
      <c r="Q22" s="15"/>
      <c r="R22" s="15"/>
      <c r="S22" s="15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6"/>
    </row>
    <row r="23" ht="19" customHeight="1" spans="1:36">
      <c r="A23" s="18"/>
      <c r="B23" s="15"/>
      <c r="C23" s="15"/>
      <c r="D23" s="15"/>
      <c r="E23" s="19"/>
      <c r="F23" s="15"/>
      <c r="G23" s="15"/>
      <c r="H23" s="15"/>
      <c r="I23" s="15"/>
      <c r="J23" s="15"/>
      <c r="K23" s="15"/>
      <c r="L23" s="15"/>
      <c r="M23" s="15"/>
      <c r="N23" s="20"/>
      <c r="O23" s="18"/>
      <c r="P23" s="15"/>
      <c r="Q23" s="15"/>
      <c r="R23" s="15"/>
      <c r="S23" s="15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6"/>
    </row>
    <row r="24" ht="19" customHeight="1" spans="1:36">
      <c r="A24" s="18"/>
      <c r="B24" s="15"/>
      <c r="C24" s="15"/>
      <c r="D24" s="15"/>
      <c r="E24" s="19"/>
      <c r="F24" s="15"/>
      <c r="G24" s="15"/>
      <c r="H24" s="15"/>
      <c r="I24" s="15"/>
      <c r="J24" s="15"/>
      <c r="K24" s="15"/>
      <c r="L24" s="15"/>
      <c r="M24" s="15"/>
      <c r="N24" s="20"/>
      <c r="O24" s="18"/>
      <c r="P24" s="15"/>
      <c r="Q24" s="15"/>
      <c r="R24" s="15"/>
      <c r="S24" s="15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6"/>
    </row>
    <row r="25" ht="19" customHeight="1" spans="1:36">
      <c r="A25" s="18"/>
      <c r="B25" s="15"/>
      <c r="C25" s="15"/>
      <c r="D25" s="15"/>
      <c r="E25" s="19"/>
      <c r="F25" s="15"/>
      <c r="G25" s="15"/>
      <c r="H25" s="15"/>
      <c r="I25" s="15"/>
      <c r="J25" s="15"/>
      <c r="K25" s="15"/>
      <c r="L25" s="15"/>
      <c r="M25" s="15"/>
      <c r="N25" s="20"/>
      <c r="O25" s="18"/>
      <c r="P25" s="15"/>
      <c r="Q25" s="15"/>
      <c r="R25" s="15"/>
      <c r="S25" s="15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6"/>
    </row>
    <row r="26" ht="19" customHeight="1" spans="1:36">
      <c r="A26" s="18"/>
      <c r="B26" s="15"/>
      <c r="C26" s="15"/>
      <c r="D26" s="15"/>
      <c r="E26" s="19"/>
      <c r="F26" s="15"/>
      <c r="G26" s="15"/>
      <c r="H26" s="15"/>
      <c r="I26" s="15"/>
      <c r="J26" s="15"/>
      <c r="K26" s="15"/>
      <c r="L26" s="15"/>
      <c r="M26" s="15"/>
      <c r="N26" s="20"/>
      <c r="O26" s="18"/>
      <c r="P26" s="15"/>
      <c r="Q26" s="15"/>
      <c r="R26" s="15"/>
      <c r="S26" s="15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6"/>
    </row>
    <row r="27" ht="19" customHeight="1" spans="1:36">
      <c r="A27" s="18"/>
      <c r="B27" s="15"/>
      <c r="C27" s="15"/>
      <c r="D27" s="15"/>
      <c r="E27" s="19"/>
      <c r="F27" s="15"/>
      <c r="G27" s="15"/>
      <c r="H27" s="15"/>
      <c r="I27" s="15"/>
      <c r="J27" s="15"/>
      <c r="K27" s="15"/>
      <c r="L27" s="15"/>
      <c r="M27" s="15"/>
      <c r="N27" s="20"/>
      <c r="O27" s="18"/>
      <c r="P27" s="15"/>
      <c r="Q27" s="15"/>
      <c r="R27" s="15"/>
      <c r="S27" s="15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6"/>
    </row>
    <row r="28" ht="19" customHeight="1" spans="1:36">
      <c r="A28" s="18"/>
      <c r="B28" s="15"/>
      <c r="C28" s="15"/>
      <c r="D28" s="15"/>
      <c r="E28" s="19"/>
      <c r="F28" s="15"/>
      <c r="G28" s="15"/>
      <c r="H28" s="15"/>
      <c r="I28" s="15"/>
      <c r="J28" s="15"/>
      <c r="K28" s="15"/>
      <c r="L28" s="15"/>
      <c r="M28" s="15"/>
      <c r="N28" s="20"/>
      <c r="O28" s="18"/>
      <c r="P28" s="15"/>
      <c r="Q28" s="15"/>
      <c r="R28" s="15"/>
      <c r="S28" s="15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6"/>
    </row>
    <row r="29" ht="19" customHeight="1" spans="1:36">
      <c r="A29" s="18"/>
      <c r="B29" s="15"/>
      <c r="C29" s="15"/>
      <c r="D29" s="15"/>
      <c r="E29" s="19"/>
      <c r="F29" s="15"/>
      <c r="G29" s="15"/>
      <c r="H29" s="15"/>
      <c r="I29" s="15"/>
      <c r="J29" s="15"/>
      <c r="K29" s="15"/>
      <c r="L29" s="15"/>
      <c r="M29" s="15"/>
      <c r="N29" s="20"/>
      <c r="O29" s="18"/>
      <c r="P29" s="15"/>
      <c r="Q29" s="15"/>
      <c r="R29" s="15"/>
      <c r="S29" s="15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6"/>
    </row>
    <row r="30" ht="19" customHeight="1" spans="1:36">
      <c r="A30" s="18"/>
      <c r="B30" s="15"/>
      <c r="C30" s="15"/>
      <c r="D30" s="15"/>
      <c r="E30" s="19"/>
      <c r="F30" s="15"/>
      <c r="G30" s="15"/>
      <c r="H30" s="15"/>
      <c r="I30" s="15"/>
      <c r="J30" s="15"/>
      <c r="K30" s="15"/>
      <c r="L30" s="15"/>
      <c r="M30" s="15"/>
      <c r="N30" s="20"/>
      <c r="O30" s="18"/>
      <c r="P30" s="15"/>
      <c r="Q30" s="15"/>
      <c r="R30" s="15"/>
      <c r="S30" s="15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6"/>
    </row>
    <row r="31" ht="19" customHeight="1" spans="1:36">
      <c r="A31" s="18"/>
      <c r="B31" s="15"/>
      <c r="C31" s="15"/>
      <c r="D31" s="15"/>
      <c r="E31" s="19"/>
      <c r="F31" s="15"/>
      <c r="G31" s="15"/>
      <c r="H31" s="15"/>
      <c r="I31" s="15"/>
      <c r="J31" s="15"/>
      <c r="K31" s="15"/>
      <c r="L31" s="15"/>
      <c r="M31" s="15"/>
      <c r="N31" s="20"/>
      <c r="O31" s="18"/>
      <c r="P31" s="15"/>
      <c r="Q31" s="15"/>
      <c r="R31" s="15"/>
      <c r="S31" s="15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6"/>
    </row>
    <row r="32" ht="19" customHeight="1" spans="1:36">
      <c r="A32" s="18"/>
      <c r="B32" s="15"/>
      <c r="C32" s="15"/>
      <c r="D32" s="15"/>
      <c r="E32" s="19"/>
      <c r="F32" s="15"/>
      <c r="G32" s="15"/>
      <c r="H32" s="15"/>
      <c r="I32" s="15"/>
      <c r="J32" s="15"/>
      <c r="K32" s="15"/>
      <c r="L32" s="15"/>
      <c r="M32" s="15"/>
      <c r="N32" s="20"/>
      <c r="O32" s="18"/>
      <c r="P32" s="15"/>
      <c r="Q32" s="15"/>
      <c r="R32" s="15"/>
      <c r="S32" s="15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6"/>
    </row>
    <row r="33" ht="19" customHeight="1" spans="1:36">
      <c r="A33" s="18"/>
      <c r="B33" s="15"/>
      <c r="C33" s="15"/>
      <c r="D33" s="15"/>
      <c r="E33" s="19"/>
      <c r="F33" s="15"/>
      <c r="G33" s="15"/>
      <c r="H33" s="15"/>
      <c r="I33" s="15"/>
      <c r="J33" s="15"/>
      <c r="K33" s="15"/>
      <c r="L33" s="15"/>
      <c r="M33" s="15"/>
      <c r="N33" s="20"/>
      <c r="O33" s="18"/>
      <c r="P33" s="15"/>
      <c r="Q33" s="15"/>
      <c r="R33" s="15"/>
      <c r="S33" s="15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6"/>
    </row>
    <row r="34" ht="19" customHeight="1" spans="1:36">
      <c r="A34" s="18"/>
      <c r="B34" s="15"/>
      <c r="C34" s="15"/>
      <c r="D34" s="15"/>
      <c r="E34" s="19"/>
      <c r="F34" s="15"/>
      <c r="G34" s="15"/>
      <c r="H34" s="15"/>
      <c r="I34" s="15"/>
      <c r="J34" s="15"/>
      <c r="K34" s="15"/>
      <c r="L34" s="15"/>
      <c r="M34" s="15"/>
      <c r="N34" s="20"/>
      <c r="O34" s="18"/>
      <c r="P34" s="15"/>
      <c r="Q34" s="15"/>
      <c r="R34" s="15"/>
      <c r="S34" s="15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6"/>
    </row>
    <row r="35" ht="19" customHeight="1" spans="1:36">
      <c r="A35" s="18"/>
      <c r="B35" s="15"/>
      <c r="C35" s="15"/>
      <c r="D35" s="15"/>
      <c r="E35" s="19"/>
      <c r="F35" s="15"/>
      <c r="G35" s="15"/>
      <c r="H35" s="15"/>
      <c r="I35" s="15"/>
      <c r="J35" s="15"/>
      <c r="K35" s="15"/>
      <c r="L35" s="15"/>
      <c r="M35" s="15"/>
      <c r="N35" s="20"/>
      <c r="O35" s="18"/>
      <c r="P35" s="15"/>
      <c r="Q35" s="15"/>
      <c r="R35" s="15"/>
      <c r="S35" s="15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6"/>
    </row>
    <row r="36" ht="19" customHeight="1" spans="1:36">
      <c r="A36" s="18"/>
      <c r="B36" s="15"/>
      <c r="C36" s="15"/>
      <c r="D36" s="15"/>
      <c r="E36" s="19"/>
      <c r="F36" s="15"/>
      <c r="G36" s="15"/>
      <c r="H36" s="15"/>
      <c r="I36" s="15"/>
      <c r="J36" s="15"/>
      <c r="K36" s="15"/>
      <c r="L36" s="15"/>
      <c r="M36" s="15"/>
      <c r="N36" s="20"/>
      <c r="O36" s="18"/>
      <c r="P36" s="15"/>
      <c r="Q36" s="15"/>
      <c r="R36" s="15"/>
      <c r="S36" s="15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6"/>
    </row>
    <row r="37" ht="19" customHeight="1" spans="1:36">
      <c r="A37" s="18"/>
      <c r="B37" s="15"/>
      <c r="C37" s="15"/>
      <c r="D37" s="15"/>
      <c r="E37" s="19"/>
      <c r="F37" s="15"/>
      <c r="G37" s="15"/>
      <c r="H37" s="15"/>
      <c r="I37" s="15"/>
      <c r="J37" s="15"/>
      <c r="K37" s="15"/>
      <c r="L37" s="15"/>
      <c r="M37" s="15"/>
      <c r="N37" s="20"/>
      <c r="O37" s="18"/>
      <c r="P37" s="15"/>
      <c r="Q37" s="15"/>
      <c r="R37" s="15"/>
      <c r="S37" s="15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6"/>
    </row>
    <row r="38" ht="19" customHeight="1" spans="1:36">
      <c r="A38" s="18"/>
      <c r="B38" s="15"/>
      <c r="C38" s="15"/>
      <c r="D38" s="15"/>
      <c r="E38" s="19"/>
      <c r="F38" s="15"/>
      <c r="G38" s="15"/>
      <c r="H38" s="15"/>
      <c r="I38" s="15"/>
      <c r="J38" s="15"/>
      <c r="K38" s="15"/>
      <c r="L38" s="15"/>
      <c r="M38" s="15"/>
      <c r="N38" s="20"/>
      <c r="O38" s="18"/>
      <c r="P38" s="15"/>
      <c r="Q38" s="15"/>
      <c r="R38" s="15"/>
      <c r="S38" s="15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6"/>
    </row>
    <row r="39" ht="19" customHeight="1" spans="1:36">
      <c r="A39" s="18"/>
      <c r="B39" s="15"/>
      <c r="C39" s="15"/>
      <c r="D39" s="15"/>
      <c r="E39" s="19"/>
      <c r="F39" s="15"/>
      <c r="G39" s="15"/>
      <c r="H39" s="15"/>
      <c r="I39" s="15"/>
      <c r="J39" s="15"/>
      <c r="K39" s="15"/>
      <c r="L39" s="15"/>
      <c r="M39" s="15"/>
      <c r="N39" s="20"/>
      <c r="O39" s="18"/>
      <c r="P39" s="15"/>
      <c r="Q39" s="15"/>
      <c r="R39" s="15"/>
      <c r="S39" s="15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6"/>
    </row>
    <row r="40" ht="19" customHeight="1" spans="1:36">
      <c r="A40" s="18"/>
      <c r="B40" s="15"/>
      <c r="C40" s="15"/>
      <c r="D40" s="15"/>
      <c r="E40" s="19"/>
      <c r="F40" s="15"/>
      <c r="G40" s="15"/>
      <c r="H40" s="15"/>
      <c r="I40" s="15"/>
      <c r="J40" s="15"/>
      <c r="K40" s="15"/>
      <c r="L40" s="15"/>
      <c r="M40" s="15"/>
      <c r="N40" s="20"/>
      <c r="O40" s="18"/>
      <c r="P40" s="15"/>
      <c r="Q40" s="15"/>
      <c r="R40" s="15"/>
      <c r="S40" s="15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6"/>
    </row>
    <row r="41" ht="19" customHeight="1" spans="1:36">
      <c r="A41" s="18"/>
      <c r="B41" s="15"/>
      <c r="C41" s="15"/>
      <c r="D41" s="15"/>
      <c r="E41" s="19"/>
      <c r="F41" s="15"/>
      <c r="G41" s="15"/>
      <c r="H41" s="15"/>
      <c r="I41" s="15"/>
      <c r="J41" s="15"/>
      <c r="K41" s="15"/>
      <c r="L41" s="15"/>
      <c r="M41" s="15"/>
      <c r="N41" s="20"/>
      <c r="O41" s="18"/>
      <c r="P41" s="15"/>
      <c r="Q41" s="15"/>
      <c r="R41" s="15"/>
      <c r="S41" s="15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6"/>
    </row>
    <row r="42" ht="19" customHeight="1" spans="1:36">
      <c r="A42" s="18"/>
      <c r="B42" s="15"/>
      <c r="C42" s="15"/>
      <c r="D42" s="15"/>
      <c r="E42" s="19"/>
      <c r="F42" s="15"/>
      <c r="G42" s="15"/>
      <c r="H42" s="15"/>
      <c r="I42" s="15"/>
      <c r="J42" s="15"/>
      <c r="K42" s="15"/>
      <c r="L42" s="15"/>
      <c r="M42" s="15"/>
      <c r="N42" s="20"/>
      <c r="O42" s="18"/>
      <c r="P42" s="15"/>
      <c r="Q42" s="15"/>
      <c r="R42" s="15"/>
      <c r="S42" s="15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6"/>
    </row>
    <row r="43" ht="19" customHeight="1" spans="1:36">
      <c r="A43" s="18"/>
      <c r="B43" s="15"/>
      <c r="C43" s="15"/>
      <c r="D43" s="15"/>
      <c r="E43" s="19"/>
      <c r="F43" s="15"/>
      <c r="G43" s="15"/>
      <c r="H43" s="15"/>
      <c r="I43" s="15"/>
      <c r="J43" s="15"/>
      <c r="K43" s="15"/>
      <c r="L43" s="15"/>
      <c r="M43" s="15"/>
      <c r="N43" s="20"/>
      <c r="O43" s="18"/>
      <c r="P43" s="15"/>
      <c r="Q43" s="15"/>
      <c r="R43" s="15"/>
      <c r="S43" s="15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6"/>
    </row>
    <row r="44" ht="19" customHeight="1" spans="1:36">
      <c r="A44" s="18"/>
      <c r="B44" s="15"/>
      <c r="C44" s="15"/>
      <c r="D44" s="15"/>
      <c r="E44" s="19"/>
      <c r="F44" s="15"/>
      <c r="G44" s="15"/>
      <c r="H44" s="15"/>
      <c r="I44" s="15"/>
      <c r="J44" s="15"/>
      <c r="K44" s="15"/>
      <c r="L44" s="15"/>
      <c r="M44" s="15"/>
      <c r="N44" s="20"/>
      <c r="O44" s="18"/>
      <c r="P44" s="15"/>
      <c r="Q44" s="15"/>
      <c r="R44" s="15"/>
      <c r="S44" s="15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6"/>
    </row>
    <row r="45" ht="19" customHeight="1" spans="1:36">
      <c r="A45" s="18"/>
      <c r="B45" s="15"/>
      <c r="C45" s="15"/>
      <c r="D45" s="15"/>
      <c r="E45" s="19"/>
      <c r="F45" s="15"/>
      <c r="G45" s="15"/>
      <c r="H45" s="15"/>
      <c r="I45" s="15"/>
      <c r="J45" s="15"/>
      <c r="K45" s="15"/>
      <c r="L45" s="15"/>
      <c r="M45" s="15"/>
      <c r="N45" s="20"/>
      <c r="O45" s="18"/>
      <c r="P45" s="15"/>
      <c r="Q45" s="15"/>
      <c r="R45" s="15"/>
      <c r="S45" s="15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6"/>
    </row>
    <row r="46" ht="19" customHeight="1" spans="1:36">
      <c r="A46" s="18"/>
      <c r="B46" s="15"/>
      <c r="C46" s="15"/>
      <c r="D46" s="15"/>
      <c r="E46" s="19"/>
      <c r="F46" s="15"/>
      <c r="G46" s="15"/>
      <c r="H46" s="15"/>
      <c r="I46" s="15"/>
      <c r="J46" s="15"/>
      <c r="K46" s="15"/>
      <c r="L46" s="15"/>
      <c r="M46" s="15"/>
      <c r="N46" s="20"/>
      <c r="O46" s="18"/>
      <c r="P46" s="15"/>
      <c r="Q46" s="15"/>
      <c r="R46" s="15"/>
      <c r="S46" s="15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6"/>
    </row>
    <row r="47" ht="19" customHeight="1" spans="1:36">
      <c r="A47" s="18"/>
      <c r="B47" s="15"/>
      <c r="C47" s="15"/>
      <c r="D47" s="15"/>
      <c r="E47" s="19"/>
      <c r="F47" s="15"/>
      <c r="G47" s="15"/>
      <c r="H47" s="15"/>
      <c r="I47" s="15"/>
      <c r="J47" s="15"/>
      <c r="K47" s="15"/>
      <c r="L47" s="15"/>
      <c r="M47" s="15"/>
      <c r="N47" s="20"/>
      <c r="O47" s="18"/>
      <c r="P47" s="15"/>
      <c r="Q47" s="15"/>
      <c r="R47" s="15"/>
      <c r="S47" s="15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6"/>
    </row>
    <row r="48" ht="19" customHeight="1" spans="1:36">
      <c r="A48" s="18"/>
      <c r="B48" s="15"/>
      <c r="C48" s="15"/>
      <c r="D48" s="15"/>
      <c r="E48" s="19"/>
      <c r="F48" s="15"/>
      <c r="G48" s="15"/>
      <c r="H48" s="15"/>
      <c r="I48" s="15"/>
      <c r="J48" s="15"/>
      <c r="K48" s="15"/>
      <c r="L48" s="15"/>
      <c r="M48" s="15"/>
      <c r="N48" s="20"/>
      <c r="O48" s="18"/>
      <c r="P48" s="15"/>
      <c r="Q48" s="15"/>
      <c r="R48" s="15"/>
      <c r="S48" s="15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6"/>
    </row>
    <row r="49" ht="19" customHeight="1" spans="1:36">
      <c r="A49" s="18"/>
      <c r="B49" s="15"/>
      <c r="C49" s="15"/>
      <c r="D49" s="15"/>
      <c r="E49" s="19"/>
      <c r="F49" s="15"/>
      <c r="G49" s="15"/>
      <c r="H49" s="15"/>
      <c r="I49" s="15"/>
      <c r="J49" s="15"/>
      <c r="K49" s="15"/>
      <c r="L49" s="15"/>
      <c r="M49" s="15"/>
      <c r="N49" s="20"/>
      <c r="O49" s="18"/>
      <c r="P49" s="15"/>
      <c r="Q49" s="15"/>
      <c r="R49" s="15"/>
      <c r="S49" s="15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6"/>
    </row>
    <row r="50" ht="19" customHeight="1" spans="1:36">
      <c r="A50" s="18"/>
      <c r="B50" s="15"/>
      <c r="C50" s="15"/>
      <c r="D50" s="15"/>
      <c r="E50" s="19"/>
      <c r="F50" s="15"/>
      <c r="G50" s="15"/>
      <c r="H50" s="15"/>
      <c r="I50" s="15"/>
      <c r="J50" s="15"/>
      <c r="K50" s="15"/>
      <c r="L50" s="15"/>
      <c r="M50" s="15"/>
      <c r="N50" s="20"/>
      <c r="O50" s="18"/>
      <c r="P50" s="15"/>
      <c r="Q50" s="15"/>
      <c r="R50" s="15"/>
      <c r="S50" s="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6"/>
    </row>
    <row r="51" ht="16.35" spans="1:36">
      <c r="A51" s="21" t="s">
        <v>50</v>
      </c>
      <c r="B51" s="22"/>
      <c r="C51" s="22">
        <f>SUM(C3:C50)</f>
        <v>92</v>
      </c>
      <c r="D51" s="22">
        <f>SUM(D3:D50)</f>
        <v>81</v>
      </c>
      <c r="E51" s="23">
        <f t="shared" ref="E51" si="2">D51/C51</f>
        <v>0.880434782608696</v>
      </c>
      <c r="F51" s="22">
        <f>SUM(F3:F50)</f>
        <v>98</v>
      </c>
      <c r="G51" s="22">
        <f>SUM(G3:G50)</f>
        <v>98</v>
      </c>
      <c r="H51" s="22">
        <f>SUM(H3:H50)</f>
        <v>94</v>
      </c>
      <c r="I51" s="22">
        <f>SUM(I3:I50)</f>
        <v>442</v>
      </c>
      <c r="J51" s="24" t="s">
        <v>51</v>
      </c>
      <c r="K51" s="22">
        <f>SUM(K3:K50)</f>
        <v>1450</v>
      </c>
      <c r="L51" s="22">
        <f t="shared" ref="L51:P51" si="3">SUM(L3:L50)</f>
        <v>221</v>
      </c>
      <c r="M51" s="22">
        <f t="shared" si="3"/>
        <v>1671</v>
      </c>
      <c r="N51" s="25">
        <f t="shared" si="3"/>
        <v>61</v>
      </c>
      <c r="O51" s="21">
        <f t="shared" si="3"/>
        <v>73.5</v>
      </c>
      <c r="P51" s="22">
        <f t="shared" si="3"/>
        <v>86</v>
      </c>
      <c r="Q51" s="22">
        <f t="shared" ref="Q51:V51" si="4">SUM(Q3:Q50)</f>
        <v>96</v>
      </c>
      <c r="R51" s="26">
        <f t="shared" si="4"/>
        <v>90</v>
      </c>
      <c r="S51" s="27">
        <f t="shared" si="4"/>
        <v>98</v>
      </c>
      <c r="T51" s="27">
        <f t="shared" si="4"/>
        <v>0</v>
      </c>
      <c r="U51" s="27">
        <f t="shared" si="4"/>
        <v>0</v>
      </c>
      <c r="V51" s="27">
        <f t="shared" si="4"/>
        <v>0</v>
      </c>
      <c r="W51" s="27">
        <f t="shared" ref="W51" si="5">SUM(W3:W50)</f>
        <v>0</v>
      </c>
      <c r="X51" s="27">
        <f t="shared" ref="X51:AJ51" si="6">SUM(X3:X50)</f>
        <v>0</v>
      </c>
      <c r="Y51" s="27">
        <f t="shared" si="6"/>
        <v>0</v>
      </c>
      <c r="Z51" s="27">
        <f t="shared" si="6"/>
        <v>0</v>
      </c>
      <c r="AA51" s="27">
        <f t="shared" si="6"/>
        <v>0</v>
      </c>
      <c r="AB51" s="27">
        <f t="shared" si="6"/>
        <v>0</v>
      </c>
      <c r="AC51" s="27">
        <f t="shared" si="6"/>
        <v>0</v>
      </c>
      <c r="AD51" s="27">
        <f t="shared" si="6"/>
        <v>0</v>
      </c>
      <c r="AE51" s="27">
        <f t="shared" si="6"/>
        <v>0</v>
      </c>
      <c r="AF51" s="27">
        <f t="shared" si="6"/>
        <v>0</v>
      </c>
      <c r="AG51" s="27">
        <f t="shared" si="6"/>
        <v>0</v>
      </c>
      <c r="AH51" s="27">
        <f t="shared" si="6"/>
        <v>0</v>
      </c>
      <c r="AI51" s="27">
        <f t="shared" si="6"/>
        <v>0</v>
      </c>
      <c r="AJ51" s="28">
        <f t="shared" si="6"/>
        <v>0</v>
      </c>
    </row>
  </sheetData>
  <autoFilter xmlns:etc="http://www.wps.cn/officeDocument/2017/etCustomData" ref="A2:V51" etc:filterBottomFollowUsedRange="0">
    <extLst/>
  </autoFilter>
  <sortState ref="A3:Y50">
    <sortCondition ref="I3:I50" descending="1"/>
  </sortState>
  <mergeCells count="3">
    <mergeCell ref="A1:N1"/>
    <mergeCell ref="O1:AJ1"/>
    <mergeCell ref="A51:B5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F9" sqref="F9"/>
    </sheetView>
  </sheetViews>
  <sheetFormatPr defaultColWidth="9.22727272727273" defaultRowHeight="15.6" outlineLevelCol="6"/>
  <cols>
    <col min="5" max="5" width="24.2272727272727" customWidth="1"/>
    <col min="6" max="6" width="18.5378787878788" customWidth="1"/>
    <col min="7" max="7" width="12.8484848484848" customWidth="1"/>
  </cols>
  <sheetData>
    <row r="1" ht="20.4" spans="1:7">
      <c r="A1" s="2" t="s">
        <v>53</v>
      </c>
      <c r="B1" s="2"/>
      <c r="C1" s="2"/>
      <c r="D1" s="2"/>
      <c r="E1" s="2"/>
      <c r="F1" s="2"/>
      <c r="G1" s="2"/>
    </row>
    <row r="2" ht="17.4" spans="1:7">
      <c r="A2" s="1" t="s">
        <v>54</v>
      </c>
      <c r="B2" s="1" t="s">
        <v>3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</row>
    <row r="3" ht="17.4" spans="1:7">
      <c r="A3" s="1">
        <v>1</v>
      </c>
      <c r="B3" s="1" t="s">
        <v>46</v>
      </c>
      <c r="C3" s="3">
        <v>46058</v>
      </c>
      <c r="D3" s="1" t="s">
        <v>60</v>
      </c>
      <c r="E3" s="1" t="s">
        <v>61</v>
      </c>
      <c r="F3" s="3">
        <v>46062</v>
      </c>
      <c r="G3" s="1" t="s">
        <v>62</v>
      </c>
    </row>
    <row r="4" ht="17.4" spans="1:7">
      <c r="A4" s="1">
        <v>2</v>
      </c>
      <c r="B4" s="1" t="s">
        <v>47</v>
      </c>
      <c r="C4" s="3">
        <v>46058</v>
      </c>
      <c r="D4" s="1" t="s">
        <v>63</v>
      </c>
      <c r="E4" s="1" t="s">
        <v>64</v>
      </c>
      <c r="F4" s="3">
        <v>46066</v>
      </c>
      <c r="G4" s="1" t="s">
        <v>65</v>
      </c>
    </row>
    <row r="5" ht="17.4" spans="1:7">
      <c r="A5" s="1">
        <v>3</v>
      </c>
      <c r="B5" s="1" t="s">
        <v>48</v>
      </c>
      <c r="C5" s="3">
        <v>46059</v>
      </c>
      <c r="D5" s="1" t="s">
        <v>66</v>
      </c>
      <c r="E5" s="1" t="s">
        <v>61</v>
      </c>
      <c r="F5" s="3">
        <v>46061</v>
      </c>
      <c r="G5" s="1" t="s">
        <v>62</v>
      </c>
    </row>
    <row r="6" ht="17.4" spans="1:7">
      <c r="A6" s="1">
        <v>4</v>
      </c>
      <c r="B6" s="1" t="s">
        <v>44</v>
      </c>
      <c r="C6" s="3">
        <v>46060</v>
      </c>
      <c r="D6" s="1" t="s">
        <v>67</v>
      </c>
      <c r="E6" s="1" t="s">
        <v>68</v>
      </c>
      <c r="F6" s="3">
        <v>46061</v>
      </c>
      <c r="G6" s="1" t="s">
        <v>62</v>
      </c>
    </row>
    <row r="7" ht="17.4" spans="1:7">
      <c r="A7" s="1">
        <v>5</v>
      </c>
      <c r="B7" s="1" t="s">
        <v>42</v>
      </c>
      <c r="C7" s="3">
        <v>46062</v>
      </c>
      <c r="D7" s="1" t="s">
        <v>69</v>
      </c>
      <c r="E7" s="1" t="s">
        <v>61</v>
      </c>
      <c r="F7" s="3">
        <v>46063</v>
      </c>
      <c r="G7" s="1" t="s">
        <v>65</v>
      </c>
    </row>
    <row r="8" ht="17.4" spans="1:7">
      <c r="A8" s="1"/>
      <c r="B8" s="1"/>
      <c r="C8" s="1"/>
      <c r="D8" s="1"/>
      <c r="E8" s="1"/>
      <c r="F8" s="1"/>
      <c r="G8" s="1"/>
    </row>
    <row r="9" ht="17.4" spans="1:7">
      <c r="A9" s="1"/>
      <c r="B9" s="1"/>
      <c r="C9" s="1"/>
      <c r="D9" s="1"/>
      <c r="E9" s="1"/>
      <c r="F9" s="1"/>
      <c r="G9" s="1"/>
    </row>
    <row r="10" ht="17.4" spans="1:7">
      <c r="A10" s="1"/>
      <c r="B10" s="1"/>
      <c r="C10" s="1"/>
      <c r="D10" s="1"/>
      <c r="E10" s="1"/>
      <c r="F10" s="1"/>
      <c r="G10" s="1"/>
    </row>
    <row r="11" ht="17.4" spans="1:7">
      <c r="A11" s="1"/>
      <c r="B11" s="1"/>
      <c r="C11" s="1"/>
      <c r="D11" s="1"/>
      <c r="E11" s="1"/>
      <c r="F11" s="1"/>
      <c r="G11" s="1"/>
    </row>
    <row r="12" ht="17.4" spans="1:7">
      <c r="A12" s="1"/>
      <c r="B12" s="1"/>
      <c r="C12" s="1"/>
      <c r="D12" s="1"/>
      <c r="E12" s="1"/>
      <c r="F12" s="1"/>
      <c r="G12" s="1"/>
    </row>
    <row r="13" ht="17.4" spans="1:7">
      <c r="A13" s="1"/>
      <c r="B13" s="1"/>
      <c r="C13" s="1"/>
      <c r="D13" s="1"/>
      <c r="E13" s="1"/>
      <c r="F13" s="1"/>
      <c r="G13" s="1"/>
    </row>
    <row r="14" ht="17.4" spans="1:7">
      <c r="A14" s="1"/>
      <c r="B14" s="1"/>
      <c r="C14" s="1"/>
      <c r="D14" s="1"/>
      <c r="E14" s="1"/>
      <c r="F14" s="1"/>
      <c r="G14" s="1"/>
    </row>
    <row r="15" ht="17.4" spans="1:7">
      <c r="A15" s="1"/>
      <c r="B15" s="1"/>
      <c r="C15" s="1"/>
      <c r="D15" s="1"/>
      <c r="E15" s="1"/>
      <c r="F15" s="1"/>
      <c r="G15" s="1"/>
    </row>
    <row r="16" ht="17.4" spans="1:7">
      <c r="A16" s="1"/>
      <c r="B16" s="1"/>
      <c r="C16" s="1"/>
      <c r="D16" s="1"/>
      <c r="E16" s="1"/>
      <c r="F16" s="1"/>
      <c r="G16" s="1"/>
    </row>
    <row r="17" ht="17.4" spans="1:7">
      <c r="A17" s="1"/>
      <c r="B17" s="1"/>
      <c r="C17" s="1"/>
      <c r="D17" s="1"/>
      <c r="E17" s="1"/>
      <c r="F17" s="1"/>
      <c r="G17" s="1"/>
    </row>
    <row r="18" ht="17.4" spans="1:7">
      <c r="A18" s="1"/>
      <c r="B18" s="1"/>
      <c r="C18" s="1"/>
      <c r="D18" s="1"/>
      <c r="E18" s="1"/>
      <c r="F18" s="1"/>
      <c r="G18" s="1"/>
    </row>
    <row r="19" ht="17.4" spans="1:7">
      <c r="A19" s="1"/>
      <c r="B19" s="1"/>
      <c r="C19" s="1"/>
      <c r="D19" s="1"/>
      <c r="E19" s="1"/>
      <c r="F19" s="1"/>
      <c r="G19" s="1"/>
    </row>
    <row r="20" ht="17.4" spans="1:7">
      <c r="A20" s="1"/>
      <c r="B20" s="1"/>
      <c r="C20" s="1"/>
      <c r="D20" s="1"/>
      <c r="E20" s="1"/>
      <c r="F20" s="1"/>
      <c r="G20" s="1"/>
    </row>
    <row r="21" ht="17.4" spans="1:7">
      <c r="A21" s="1"/>
      <c r="B21" s="1"/>
      <c r="C21" s="1"/>
      <c r="D21" s="1"/>
      <c r="E21" s="1"/>
      <c r="F21" s="1"/>
      <c r="G21" s="1"/>
    </row>
    <row r="22" ht="17.4" spans="1:7">
      <c r="A22" s="1"/>
      <c r="B22" s="1"/>
      <c r="C22" s="1"/>
      <c r="D22" s="1"/>
      <c r="E22" s="1"/>
      <c r="F22" s="1"/>
      <c r="G22" s="1"/>
    </row>
    <row r="23" ht="17.4" spans="1:7">
      <c r="A23" s="1"/>
      <c r="B23" s="1"/>
      <c r="C23" s="1"/>
      <c r="D23" s="1"/>
      <c r="E23" s="1"/>
      <c r="F23" s="1"/>
      <c r="G23" s="1"/>
    </row>
    <row r="24" ht="17.4" spans="1:7">
      <c r="A24" s="1"/>
      <c r="B24" s="1"/>
      <c r="C24" s="1"/>
      <c r="D24" s="1"/>
      <c r="E24" s="1"/>
      <c r="F24" s="1"/>
      <c r="G24" s="1"/>
    </row>
    <row r="25" ht="17.4" spans="1:7">
      <c r="A25" s="1"/>
      <c r="B25" s="1"/>
      <c r="C25" s="1"/>
      <c r="D25" s="1"/>
      <c r="E25" s="1"/>
      <c r="F25" s="1"/>
      <c r="G25" s="1"/>
    </row>
    <row r="26" ht="17.4" spans="1:7">
      <c r="A26" s="1"/>
      <c r="B26" s="1"/>
      <c r="C26" s="1"/>
      <c r="D26" s="1"/>
      <c r="E26" s="1"/>
      <c r="F26" s="1"/>
      <c r="G26" s="1"/>
    </row>
    <row r="27" ht="17.4" spans="1:7">
      <c r="A27" s="1"/>
      <c r="B27" s="1"/>
      <c r="C27" s="1"/>
      <c r="D27" s="1"/>
      <c r="E27" s="1"/>
      <c r="F27" s="1"/>
      <c r="G27" s="1"/>
    </row>
    <row r="28" ht="17.4" spans="1:7">
      <c r="A28" s="4"/>
      <c r="B28" s="4"/>
      <c r="C28" s="4"/>
      <c r="D28" s="4"/>
      <c r="E28" s="4"/>
      <c r="F28" s="4"/>
      <c r="G28" s="4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zoomScale="145" zoomScaleNormal="145" workbookViewId="0">
      <selection activeCell="C15" sqref="C15"/>
    </sheetView>
  </sheetViews>
  <sheetFormatPr defaultColWidth="9.22727272727273" defaultRowHeight="15.6" outlineLevelRow="7" outlineLevelCol="2"/>
  <cols>
    <col min="2" max="2" width="28.0757575757576" customWidth="1"/>
    <col min="3" max="3" width="34.4621212121212" customWidth="1"/>
  </cols>
  <sheetData>
    <row r="2" ht="17.4" spans="2:3">
      <c r="B2" s="1" t="s">
        <v>70</v>
      </c>
      <c r="C2" s="1"/>
    </row>
    <row r="3" ht="17.4" spans="2:3">
      <c r="B3" s="1" t="s">
        <v>55</v>
      </c>
      <c r="C3" s="1" t="s">
        <v>71</v>
      </c>
    </row>
    <row r="4" ht="17.4" spans="2:3">
      <c r="B4" s="1" t="s">
        <v>72</v>
      </c>
      <c r="C4" s="1" t="s">
        <v>73</v>
      </c>
    </row>
    <row r="5" ht="17.4" spans="2:3">
      <c r="B5" s="1" t="s">
        <v>74</v>
      </c>
      <c r="C5" s="1" t="s">
        <v>75</v>
      </c>
    </row>
    <row r="6" ht="17.4" spans="2:3">
      <c r="B6" s="1" t="s">
        <v>76</v>
      </c>
      <c r="C6" s="1" t="s">
        <v>77</v>
      </c>
    </row>
    <row r="7" ht="17.4" spans="2:3">
      <c r="B7" s="1" t="s">
        <v>78</v>
      </c>
      <c r="C7" s="1" t="s">
        <v>79</v>
      </c>
    </row>
    <row r="8" ht="17.4" spans="2:3">
      <c r="B8" s="1" t="s">
        <v>80</v>
      </c>
      <c r="C8" s="1" t="s">
        <v>81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炽天 骑士</cp:lastModifiedBy>
  <dcterms:created xsi:type="dcterms:W3CDTF">2018-07-08T10:06:00Z</dcterms:created>
  <dcterms:modified xsi:type="dcterms:W3CDTF">2026-02-09T14:45:25Z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E269AA5C7A5B4828A634EE26F6642F92_13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