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精品班" sheetId="1" r:id="rId1"/>
    <sheet name="一对一" sheetId="2" r:id="rId2"/>
  </sheets>
  <definedNames>
    <definedName name="_xlnm._FilterDatabase" localSheetId="0" hidden="1">精品班!$A$1:$M$215</definedName>
    <definedName name="_xlnm._FilterDatabase" localSheetId="1" hidden="1">一对一!$A$1:$K$206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<sst xmlns="http://schemas.openxmlformats.org/spreadsheetml/2006/main" count="1158" uniqueCount="422">
  <si>
    <t>序号</t>
  </si>
  <si>
    <t>学科组</t>
  </si>
  <si>
    <t>教师姓名</t>
  </si>
  <si>
    <t>学员姓名</t>
  </si>
  <si>
    <t>年级</t>
  </si>
  <si>
    <t>10月月考
分数或排名</t>
  </si>
  <si>
    <t>10月月考反馈出的问题</t>
  </si>
  <si>
    <t>针对以上问题的解决方案</t>
  </si>
  <si>
    <t>期中目标
分数或排名</t>
  </si>
  <si>
    <t>期中实际分数</t>
  </si>
  <si>
    <t>排名情况</t>
  </si>
  <si>
    <t>与预期差额</t>
  </si>
  <si>
    <t>家长满意度</t>
  </si>
  <si>
    <t>12月月考成绩</t>
  </si>
  <si>
    <t>月考排名是否上升</t>
  </si>
  <si>
    <t>排名下降学员的沟通情况</t>
  </si>
  <si>
    <t>期末目标</t>
  </si>
  <si>
    <t>期末实际分数</t>
  </si>
  <si>
    <t>与预期的差额</t>
  </si>
  <si>
    <t>排名变化</t>
  </si>
  <si>
    <t>成绩变化</t>
  </si>
  <si>
    <t>反馈出的问题</t>
  </si>
  <si>
    <t>初中数学</t>
  </si>
  <si>
    <t>李少阳</t>
  </si>
  <si>
    <t>韩欣怡</t>
  </si>
  <si>
    <t>初二</t>
  </si>
  <si>
    <t>87（100）</t>
  </si>
  <si>
    <t>综合大题完成的不好</t>
  </si>
  <si>
    <t>平时的大题完成比较懒散，不能独立完成，课堂鼓励孩子，课下的大题过程要检查到位</t>
  </si>
  <si>
    <t>满意</t>
  </si>
  <si>
    <t>是</t>
  </si>
  <si>
    <t>韩鑫宇</t>
  </si>
  <si>
    <t>平时的练习当中需要加强大题完成，特别是自己独立的完成能力</t>
  </si>
  <si>
    <t>未出</t>
  </si>
  <si>
    <t>王思睿</t>
  </si>
  <si>
    <t>未考</t>
  </si>
  <si>
    <t>基本满意</t>
  </si>
  <si>
    <t>闫雨琪</t>
  </si>
  <si>
    <t>48（100）</t>
  </si>
  <si>
    <t>基础知识不是很扎实，导致计算部分出现问题</t>
  </si>
  <si>
    <t>考前的各种题型要刷到，特别是练习校本题目</t>
  </si>
  <si>
    <t>否</t>
  </si>
  <si>
    <t>学习情况、单独发了练习题目</t>
  </si>
  <si>
    <t>朱亿曦</t>
  </si>
  <si>
    <t>张瀚文</t>
  </si>
  <si>
    <t>84（100）</t>
  </si>
  <si>
    <t>压轴大题完成不扎实</t>
  </si>
  <si>
    <t>分类讨论的几何题目需要练</t>
  </si>
  <si>
    <t>刘天羽</t>
  </si>
  <si>
    <t>101（120）</t>
  </si>
  <si>
    <t>选择压轴题目</t>
  </si>
  <si>
    <t>平时的难题可以单独给学生布置，课堂多鼓励孩子完成</t>
  </si>
  <si>
    <t>杜沁坤</t>
  </si>
  <si>
    <t>细节问题出错较多，问题需要格外重视</t>
  </si>
  <si>
    <t>课后的练习和平时的作业要严格要求，课堂检查也以此为主</t>
  </si>
  <si>
    <t>张泽</t>
  </si>
  <si>
    <t>秦鸿耀</t>
  </si>
  <si>
    <t>92（100）</t>
  </si>
  <si>
    <t>综合大题</t>
  </si>
  <si>
    <t>课堂主要以拓展为主，自己多琢磨你，多练习，课后做必刷题勾画题目</t>
  </si>
  <si>
    <t>杜可欣</t>
  </si>
  <si>
    <t>95（100）</t>
  </si>
  <si>
    <t>综合性题目</t>
  </si>
  <si>
    <t>多练习压轴题</t>
  </si>
  <si>
    <t>非常满意</t>
  </si>
  <si>
    <t>石卓轩</t>
  </si>
  <si>
    <t>61（100）</t>
  </si>
  <si>
    <t>基础知识不扎实，习惯不好</t>
  </si>
  <si>
    <t>平时多做基础题，课后可以把名校课堂用起来</t>
  </si>
  <si>
    <t>赵嘉玥</t>
  </si>
  <si>
    <t>78（100）</t>
  </si>
  <si>
    <t>基础知识不扎实，做题速度慢</t>
  </si>
  <si>
    <t>平时多练基础题，卡时间训练</t>
  </si>
  <si>
    <t>赵瑾瑜</t>
  </si>
  <si>
    <t>中档题，易错题，综合性题目欠缺</t>
  </si>
  <si>
    <t>多刷题，整理错题</t>
  </si>
  <si>
    <t>成绩还没出来</t>
  </si>
  <si>
    <t>李星儒</t>
  </si>
  <si>
    <t>69（100）</t>
  </si>
  <si>
    <t>平时的复习要到位，除了重点题目之外，基础题目也要完成</t>
  </si>
  <si>
    <t>杨誉哲</t>
  </si>
  <si>
    <t>82（100）</t>
  </si>
  <si>
    <t>综合性题目和压轴题掌握一般</t>
  </si>
  <si>
    <t>多见不同题型，在解答题方面多下功夫，建议做必刷题</t>
  </si>
  <si>
    <t>换班</t>
  </si>
  <si>
    <t>停课</t>
  </si>
  <si>
    <t>侯壹仁</t>
  </si>
  <si>
    <t>96（100）</t>
  </si>
  <si>
    <t>压轴题目完成不扎实</t>
  </si>
  <si>
    <t>不满意</t>
  </si>
  <si>
    <t>乔孟辰宇</t>
  </si>
  <si>
    <t>93（100）</t>
  </si>
  <si>
    <t>压轴题不扎实</t>
  </si>
  <si>
    <t>平时多练习压轴题部分，学习一题多解，买一本必刷题练习</t>
  </si>
  <si>
    <t>学生没写完，家长理解</t>
  </si>
  <si>
    <t>胡恩溪</t>
  </si>
  <si>
    <t>99（100）</t>
  </si>
  <si>
    <t>多做压轴题部分，建议买必刷题</t>
  </si>
  <si>
    <t>学生选择题涂错４道</t>
  </si>
  <si>
    <t>王文蓉</t>
  </si>
  <si>
    <t>97（100）</t>
  </si>
  <si>
    <t>压轴大题</t>
  </si>
  <si>
    <t>张锐</t>
  </si>
  <si>
    <t>88（100）</t>
  </si>
  <si>
    <t>李诗扬</t>
  </si>
  <si>
    <t>91（100）</t>
  </si>
  <si>
    <t>综合性题目，易错题</t>
  </si>
  <si>
    <t>课堂主要以拓展为主，自己多琢磨，多练习，课后做必刷题勾画题目</t>
  </si>
  <si>
    <t>王颢钦</t>
  </si>
  <si>
    <t>90（100）</t>
  </si>
  <si>
    <t>多做压轴题，整理错题</t>
  </si>
  <si>
    <t>闫煜芮</t>
  </si>
  <si>
    <t>77（100）</t>
  </si>
  <si>
    <t>课堂主要抓基础，多鼓励孩子，下去整理错题</t>
  </si>
  <si>
    <t>杨益菲</t>
  </si>
  <si>
    <t>85（100）</t>
  </si>
  <si>
    <t>基础部分不扎实，课后练习的少</t>
  </si>
  <si>
    <t>整理错题，多在基础题上面下功夫，可以把名校课堂用起来</t>
  </si>
  <si>
    <t>黄楷</t>
  </si>
  <si>
    <t>未知</t>
  </si>
  <si>
    <t>韩佳君</t>
  </si>
  <si>
    <t>81（100）</t>
  </si>
  <si>
    <t>基础知识不扎实，课后练习较少</t>
  </si>
  <si>
    <t>抓基础，平时把讲过的错题多复习巩固。</t>
  </si>
  <si>
    <t>韩睿轩</t>
  </si>
  <si>
    <t>83（100）</t>
  </si>
  <si>
    <t>综合性题目和新题型掌握不扎实</t>
  </si>
  <si>
    <t>平时多练习综合性题目，建议买必刷题</t>
  </si>
  <si>
    <t>段昕彤</t>
  </si>
  <si>
    <t>基础知识不扎实，课堂所讲内容没有彻底消化</t>
  </si>
  <si>
    <t>多练基础，复习巩固课堂所讲内容，整理错题。</t>
  </si>
  <si>
    <t>吕梓诚</t>
  </si>
  <si>
    <t>基础不是很扎实，学习习惯不好</t>
  </si>
  <si>
    <t>整理错题，下去多练基础题，中档题，压轴题先放一放</t>
  </si>
  <si>
    <t>原辰杰</t>
  </si>
  <si>
    <t>基础知识不扎实</t>
  </si>
  <si>
    <t>多抓基础，整理错题，反复练习</t>
  </si>
  <si>
    <t>李文博</t>
  </si>
  <si>
    <t>76（100）</t>
  </si>
  <si>
    <t>基础知识不扎实，综合题目丢分多</t>
  </si>
  <si>
    <t>武辰逸</t>
  </si>
  <si>
    <t>59（100）</t>
  </si>
  <si>
    <t>基础部分不扎实，习惯不好</t>
  </si>
  <si>
    <t>整理错题，多练基础</t>
  </si>
  <si>
    <t>范鑫楷</t>
  </si>
  <si>
    <t>康慧琪</t>
  </si>
  <si>
    <t>周圣杰</t>
  </si>
  <si>
    <t>86.5（120）</t>
  </si>
  <si>
    <t>基础知识不扎实，中档题目写的不完整</t>
  </si>
  <si>
    <t>抓基础，限时训练，加快做题速度，整理错题。</t>
  </si>
  <si>
    <t>陈姿诺</t>
  </si>
  <si>
    <t>王子洋</t>
  </si>
  <si>
    <t>89（100）</t>
  </si>
  <si>
    <t>易错题，计算器，综合性题目加强</t>
  </si>
  <si>
    <t>整理错题，反复练习，多练习综合性题目</t>
  </si>
  <si>
    <t>陈雨晨</t>
  </si>
  <si>
    <t>陈雨阳</t>
  </si>
  <si>
    <t>张琪悦</t>
  </si>
  <si>
    <t>118（120）</t>
  </si>
  <si>
    <t>综合性题目欠缺</t>
  </si>
  <si>
    <t>多做压轴题</t>
  </si>
  <si>
    <t>李怡昊</t>
  </si>
  <si>
    <t>基础比较扎实，习惯不好，解答题步骤需要完善，综合性题目要加强</t>
  </si>
  <si>
    <t>多练习综合性大题，影视解答题步骤。</t>
  </si>
  <si>
    <t>孟远航</t>
  </si>
  <si>
    <t>综合性题目掌握一般，习惯不好细节容易丢分</t>
  </si>
  <si>
    <t>整理错题，下去多练习综合性题目，建议做必刷题。</t>
  </si>
  <si>
    <t>温悦琪</t>
  </si>
  <si>
    <t>二</t>
  </si>
  <si>
    <t>105（120）</t>
  </si>
  <si>
    <t>综合性题目掌握一般，基础题部分还需要多加强。</t>
  </si>
  <si>
    <t>整理错题，易错题反复练习，加强综合性题目练习</t>
  </si>
  <si>
    <t>张媛媛</t>
  </si>
  <si>
    <t>胡嘉晴</t>
  </si>
  <si>
    <t>初一</t>
  </si>
  <si>
    <t>计算题出现错误</t>
  </si>
  <si>
    <t>邵田利</t>
  </si>
  <si>
    <t>李强</t>
  </si>
  <si>
    <t>83(120)</t>
  </si>
  <si>
    <t>粗心错误和解答题书写步骤上面问题相对比较大，综合性题目思维不顺畅</t>
  </si>
  <si>
    <t>日常练习多练基础解答题，综合性题目的解决方法记笔记多复习</t>
  </si>
  <si>
    <t>粗心较多，做题策略有问题</t>
  </si>
  <si>
    <t>日常练习要养成及时检查的好习惯</t>
  </si>
  <si>
    <t>韩初晴</t>
  </si>
  <si>
    <t>68(120)</t>
  </si>
  <si>
    <t>二次根式基础计算不够扎实，做题习惯不太好，解答题书写步骤和综合题目也有问题</t>
  </si>
  <si>
    <t>日常练习多练选填小题和基础解答题。</t>
  </si>
  <si>
    <t>难题灵活题目不会</t>
  </si>
  <si>
    <t>先打基础，有余力的情况下再慢慢攻克难题</t>
  </si>
  <si>
    <t>王甜怡</t>
  </si>
  <si>
    <t>无</t>
  </si>
  <si>
    <t>聂蕾</t>
  </si>
  <si>
    <t>王悦甯</t>
  </si>
  <si>
    <t>计算正确率不高，格式问题直接扣了7分</t>
  </si>
  <si>
    <t>平时会多同步一些计算题，多练习计算，提高正确率。</t>
  </si>
  <si>
    <t>行程压轴失分</t>
  </si>
  <si>
    <t>之后遇到相关问题再学习</t>
  </si>
  <si>
    <t>王帆</t>
  </si>
  <si>
    <t>三视图画正确，但没有画阴影扣6分，比较可惜</t>
  </si>
  <si>
    <t>培养做题时勾画关键词的习惯</t>
  </si>
  <si>
    <t>不太满意</t>
  </si>
  <si>
    <t>还没出分</t>
  </si>
  <si>
    <t>李雅彤</t>
  </si>
  <si>
    <t>奇点偶段问题出错，大题扣分严重</t>
  </si>
  <si>
    <t>新学习的方法要提醒孩子做好巩固，考前要复习</t>
  </si>
  <si>
    <t>不太满意，有粗心的地方，丢分可惜</t>
  </si>
  <si>
    <t>学校不考</t>
  </si>
  <si>
    <t>潘欣怡</t>
  </si>
  <si>
    <t>计算出错，基础题出错严重</t>
  </si>
  <si>
    <t>加强基础题的练习巩固，易错题反复练习</t>
  </si>
  <si>
    <t>没考</t>
  </si>
  <si>
    <t>刘昱霄</t>
  </si>
  <si>
    <t>孩子基础比较差，课堂上不太能跟得上进度</t>
  </si>
  <si>
    <t>及时和家长做好沟通，同步孩子学习情况，课下也抓紧跟盯</t>
  </si>
  <si>
    <t>关洁妤</t>
  </si>
  <si>
    <t>周一考</t>
  </si>
  <si>
    <t>元旦后考</t>
  </si>
  <si>
    <t>张伟</t>
  </si>
  <si>
    <t>闫懿萍</t>
  </si>
  <si>
    <t>初三</t>
  </si>
  <si>
    <t>89.5（120）</t>
  </si>
  <si>
    <t>加强综合性题目练习，多锻炼分类讨论思维</t>
  </si>
  <si>
    <t>郭宏恩</t>
  </si>
  <si>
    <t>陈佳欣</t>
  </si>
  <si>
    <t>分类讨论不完全，综合题型掌握一般</t>
  </si>
  <si>
    <t>沈子懿</t>
  </si>
  <si>
    <t>郭锦蓉</t>
  </si>
  <si>
    <t>闫宏蓉</t>
  </si>
  <si>
    <t>黄诗琪</t>
  </si>
  <si>
    <t>李思成</t>
  </si>
  <si>
    <t>赵熠辰</t>
  </si>
  <si>
    <t>审题问题较大</t>
  </si>
  <si>
    <t>11月回访内容</t>
  </si>
  <si>
    <t>试卷分析是否发送</t>
  </si>
  <si>
    <t>宋明皓</t>
  </si>
  <si>
    <t>学生期中复习进度</t>
  </si>
  <si>
    <t>平时练习少</t>
  </si>
  <si>
    <t>家长监督孩子完成练习</t>
  </si>
  <si>
    <t>刘禹程</t>
  </si>
  <si>
    <t>112（100）</t>
  </si>
  <si>
    <t>学生的学习态度问题和后期的安排</t>
  </si>
  <si>
    <t>细节问题关注不到</t>
  </si>
  <si>
    <t>平时的练习要打分</t>
  </si>
  <si>
    <t>梁诗潼</t>
  </si>
  <si>
    <t>学生的成绩、试卷分析</t>
  </si>
  <si>
    <t>侯奕帆</t>
  </si>
  <si>
    <t>37（100）</t>
  </si>
  <si>
    <t>学生的课程进度和后期安排</t>
  </si>
  <si>
    <t>一次函数</t>
  </si>
  <si>
    <t>寒假县复习一次函数和三角形部分</t>
  </si>
  <si>
    <t>田宇轩</t>
  </si>
  <si>
    <t>95（105）</t>
  </si>
  <si>
    <t>学生的后期学习安排</t>
  </si>
  <si>
    <t>薛羽白</t>
  </si>
  <si>
    <t>22号考试</t>
  </si>
  <si>
    <t>最近学习状态问题</t>
  </si>
  <si>
    <t>压轴题目存在问题</t>
  </si>
  <si>
    <t>寒假先复习七年级三角形</t>
  </si>
  <si>
    <t>常芮菡</t>
  </si>
  <si>
    <t>进去学习中遇到的问题</t>
  </si>
  <si>
    <t>肖瑾华</t>
  </si>
  <si>
    <t>学习的进度和后续是否需要提前学习</t>
  </si>
  <si>
    <t>基础概念不扎实</t>
  </si>
  <si>
    <t>发送了定理公理背诵</t>
  </si>
  <si>
    <t>张洪睿</t>
  </si>
  <si>
    <t>细节失分</t>
  </si>
  <si>
    <t>寒假已经开始练习套卷了</t>
  </si>
  <si>
    <t>丁悦</t>
  </si>
  <si>
    <t>桑岐浩</t>
  </si>
  <si>
    <t>91/120</t>
  </si>
  <si>
    <t>赵璟瑄</t>
  </si>
  <si>
    <t>没考试</t>
  </si>
  <si>
    <t>试卷分析沟通</t>
  </si>
  <si>
    <t>付锦鸿</t>
  </si>
  <si>
    <t>王嘉悦</t>
  </si>
  <si>
    <t>王紫晗</t>
  </si>
  <si>
    <t>学习进度和状态了解</t>
  </si>
  <si>
    <t>毛鑫圣</t>
  </si>
  <si>
    <t>武洲彤</t>
  </si>
  <si>
    <t>王诗翰</t>
  </si>
  <si>
    <t>李欣阳</t>
  </si>
  <si>
    <t>吴慧雅</t>
  </si>
  <si>
    <t>郭嘉</t>
  </si>
  <si>
    <t>89(100)</t>
  </si>
  <si>
    <t>试卷分析以及作业落实督促</t>
  </si>
  <si>
    <t>难题灵活题不会</t>
  </si>
  <si>
    <t>专项练习难题</t>
  </si>
  <si>
    <t>白悦瑶</t>
  </si>
  <si>
    <t>难题灵活题不会，做题思路不够清晰</t>
  </si>
  <si>
    <t>做题多思考知识原理，与妈妈讲出做题思路</t>
  </si>
  <si>
    <t>阎子江</t>
  </si>
  <si>
    <t>99(120)</t>
  </si>
  <si>
    <t>难题不会，粗心问题</t>
  </si>
  <si>
    <t>培养做题认真的好习惯</t>
  </si>
  <si>
    <t>闫佳琦</t>
  </si>
  <si>
    <t>89（120）</t>
  </si>
  <si>
    <t>难题不会，解答题过程有问题</t>
  </si>
  <si>
    <t>持续纠正过程规范，学习难题解题思路，做题仔细检查</t>
  </si>
  <si>
    <t>赵程磊</t>
  </si>
  <si>
    <t>不及格</t>
  </si>
  <si>
    <t>结课</t>
  </si>
  <si>
    <t>灵活题不会，笔记复习不到位，难题不会</t>
  </si>
  <si>
    <t>学会思考考点以及课下落实笔记复习</t>
  </si>
  <si>
    <t>石祺涵</t>
  </si>
  <si>
    <t>73（100）</t>
  </si>
  <si>
    <t>试卷分析沟通以及几何学习情况预估，给家长合理降期</t>
  </si>
  <si>
    <t>难题灵活题不会，一点小粗心问题</t>
  </si>
  <si>
    <t>扎实基础培养做难题的思维</t>
  </si>
  <si>
    <t>陈颖汐</t>
  </si>
  <si>
    <t>粗心问题较大，灵活题目不太会</t>
  </si>
  <si>
    <t>做题时要想清楚每一步的步骤，并且留时间检查</t>
  </si>
  <si>
    <t>郑泊宁</t>
  </si>
  <si>
    <t>68（100）</t>
  </si>
  <si>
    <t>王灿森</t>
  </si>
  <si>
    <t>计算题扣分较多，项目化研究类题目不会</t>
  </si>
  <si>
    <t>开始留时间检查，考前进行计算专项练习</t>
  </si>
  <si>
    <t>王麒鸣</t>
  </si>
  <si>
    <t>粗心扣5分，难题不会</t>
  </si>
  <si>
    <t>培养日常练习检查的习惯，考前专项练压轴。</t>
  </si>
  <si>
    <t>张炜祺</t>
  </si>
  <si>
    <t>试卷错题分析</t>
  </si>
  <si>
    <t>上升</t>
  </si>
  <si>
    <t>粗心大意丢6分，孩子妈很惋惜，但有很大进步，孩子妈很知足</t>
  </si>
  <si>
    <t>提议使用错题本</t>
  </si>
  <si>
    <t>贾品卿</t>
  </si>
  <si>
    <t>不考</t>
  </si>
  <si>
    <t>王宣楠</t>
  </si>
  <si>
    <t>106（120）</t>
  </si>
  <si>
    <t>近期的学习情况</t>
  </si>
  <si>
    <t>还没考</t>
  </si>
  <si>
    <t>程宇彤</t>
  </si>
  <si>
    <t>宋禹萱</t>
  </si>
  <si>
    <t>基础比较弱，填空题出错太多</t>
  </si>
  <si>
    <t>继续补充基础</t>
  </si>
  <si>
    <t>张芊芊</t>
  </si>
  <si>
    <t>压轴题难度较大</t>
  </si>
  <si>
    <t>突破压轴</t>
  </si>
  <si>
    <t>李雨桐</t>
  </si>
  <si>
    <t>行程大题还是存在漏洞</t>
  </si>
  <si>
    <t>继续学习</t>
  </si>
  <si>
    <t>赵梓涵</t>
  </si>
  <si>
    <t>下降</t>
  </si>
  <si>
    <t>翟潇棣</t>
  </si>
  <si>
    <t>试卷错题分析，后续上课内容规划</t>
  </si>
  <si>
    <t>基础问题不大，压轴行程拿不上分</t>
  </si>
  <si>
    <t>之后遇到行程再复习</t>
  </si>
  <si>
    <t>彭少玮</t>
  </si>
  <si>
    <t>陈雨鑫</t>
  </si>
  <si>
    <t>一次函数失误较多，读题错误，材料题薄弱</t>
  </si>
  <si>
    <t>加强练习，针对一次函数以及材料分析题</t>
  </si>
  <si>
    <t>高浩宇</t>
  </si>
  <si>
    <t>93（120）</t>
  </si>
  <si>
    <t>没参与统考</t>
  </si>
  <si>
    <t>近期学习内容沟通</t>
  </si>
  <si>
    <t>基础题失误较多，大题中计算错误较多</t>
  </si>
  <si>
    <t>限时训练大题计算</t>
  </si>
  <si>
    <t>较难题目掌握的不太好，基础题粗心</t>
  </si>
  <si>
    <t>夯实基础，培养检查答案的习惯</t>
  </si>
  <si>
    <t>刘奕轩</t>
  </si>
  <si>
    <t>考试紧张、时间不充足</t>
  </si>
  <si>
    <t>调节心理压力</t>
  </si>
  <si>
    <t>云皓燃</t>
  </si>
  <si>
    <t>换老师</t>
  </si>
  <si>
    <t>朱妍熙</t>
  </si>
  <si>
    <t>祁宜源</t>
  </si>
  <si>
    <t>时间把控不好，新题型丢分多</t>
  </si>
  <si>
    <t>平时做题卡时间训练，多练习新题型。</t>
  </si>
  <si>
    <t>史辰昊</t>
  </si>
  <si>
    <t>压轴题丢分多</t>
  </si>
  <si>
    <t>寒假多练习压轴题部分，多接触不同类型题目，建议买尖子生万唯训练</t>
  </si>
  <si>
    <t>冯浩轩</t>
  </si>
  <si>
    <t>曹鹤译</t>
  </si>
  <si>
    <t>基础不扎实，落下内容比较多</t>
  </si>
  <si>
    <t>复习巩固错题，多练习基础题部分。</t>
  </si>
  <si>
    <t>王灵敏</t>
  </si>
  <si>
    <t>压轴题部分和细节容易丢分</t>
  </si>
  <si>
    <t>下去多训练压轴题部分，易错题整理出来，定期复习巩固。</t>
  </si>
  <si>
    <t>李威廷</t>
  </si>
  <si>
    <t>压轴题部分</t>
  </si>
  <si>
    <t>平时多练习压轴题部分，关键是要多复习巩固总结错题。</t>
  </si>
  <si>
    <t>高梦浛</t>
  </si>
  <si>
    <t>刘禹辰</t>
  </si>
  <si>
    <t>时间紧张，做不完题目</t>
  </si>
  <si>
    <t>限时训练，提升做题速度，巩固基础</t>
  </si>
  <si>
    <t>巩若汐</t>
  </si>
  <si>
    <t>苏昊冉</t>
  </si>
  <si>
    <t>李欣怡</t>
  </si>
  <si>
    <t>苗恒绮</t>
  </si>
  <si>
    <t>成绩还没出</t>
  </si>
  <si>
    <t>基础太差，学校跟不上</t>
  </si>
  <si>
    <t>巩固基础</t>
  </si>
  <si>
    <t>李梓轩</t>
  </si>
  <si>
    <t>宋羽泽</t>
  </si>
  <si>
    <t>李佳轩</t>
  </si>
  <si>
    <t>义泽婕</t>
  </si>
  <si>
    <t>周怡茉</t>
  </si>
  <si>
    <t>态度浮躁，成绩不稳定</t>
  </si>
  <si>
    <t>张子涵</t>
  </si>
  <si>
    <t>吉青</t>
  </si>
  <si>
    <t>刘子韦</t>
  </si>
  <si>
    <t>心态不好，成绩不稳定</t>
  </si>
  <si>
    <t>调整心态，强化做题方法</t>
  </si>
  <si>
    <t>王琛皓</t>
  </si>
  <si>
    <t>综合大题审题不清，细节失分</t>
  </si>
  <si>
    <t>多练易错题，多练题型</t>
  </si>
  <si>
    <t>陈煜垚</t>
  </si>
  <si>
    <t>综合大题扣分多，基础不扎实</t>
  </si>
  <si>
    <t>文诗涵</t>
  </si>
  <si>
    <t>发挥很好</t>
  </si>
  <si>
    <t>王楚皓</t>
  </si>
  <si>
    <t>小题出错多，综合大题做的不好</t>
  </si>
  <si>
    <t>曹景硕</t>
  </si>
  <si>
    <t>67/120</t>
  </si>
  <si>
    <t>小题出错多，基础差</t>
  </si>
  <si>
    <t>要懿轩</t>
  </si>
  <si>
    <t>58/120</t>
  </si>
  <si>
    <t>81/120</t>
  </si>
  <si>
    <t>审题不清，做题速度慢</t>
  </si>
  <si>
    <t>多练综合大题，提高理解并解决问题能力</t>
  </si>
  <si>
    <t>王思懿</t>
  </si>
  <si>
    <t>基础不扎实，粗心较大</t>
  </si>
  <si>
    <t>巩固基础，细化知识点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</si>
</sst>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??/???"/>
  </numFmts>
  <fonts count="33">
    <font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1"/>
      <color rgb="FF000000"/>
      <name val="等线"/>
      <charset val="134"/>
    </font>
    <font>
      <b/>
      <sz val="12"/>
      <color rgb="FF000000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等线"/>
      <charset val="134"/>
      <scheme val="minor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DFB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5">
    <xf numFmtId="0" fontId="0" fillId="0" borderId="0" xfId="0" applyFont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vertical="center"/>
    </xf>
    <xf numFmtId="0" fontId="0" fillId="5" borderId="5" xfId="0" applyFont="1" applyFill="1" applyBorder="1">
      <alignment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6" fillId="0" borderId="1" xfId="0" applyFont="1" applyFill="1" applyBorder="1">
      <alignment vertical="center"/>
    </xf>
    <xf numFmtId="0" fontId="12" fillId="8" borderId="1" xfId="0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8"/>
  <sheetViews>
    <sheetView workbookViewId="0">
      <pane xSplit="4" topLeftCell="E1" activePane="topRight" state="frozen"/>
      <selection/>
      <selection pane="topRight" activeCell="O5" sqref="O5"/>
    </sheetView>
  </sheetViews>
  <sheetFormatPr defaultColWidth="9" defaultRowHeight="14.25"/>
  <cols>
    <col min="1" max="1" width="7.73333333333333" style="1" customWidth="1"/>
    <col min="2" max="5" width="14" style="1" customWidth="1"/>
    <col min="6" max="6" width="20.1666666666667" style="1" customWidth="1"/>
    <col min="7" max="7" width="41.4583333333333" style="1" customWidth="1"/>
    <col min="8" max="8" width="65.5166666666667" style="1" customWidth="1"/>
    <col min="9" max="9" width="39.2666666666667" style="1" customWidth="1"/>
    <col min="10" max="10" width="15.5833333333333" style="43" customWidth="1"/>
    <col min="11" max="11" width="13" style="43" customWidth="1"/>
    <col min="12" max="16" width="14" style="3" customWidth="1"/>
    <col min="17" max="19" width="14" style="4"/>
    <col min="20" max="31" width="14" customWidth="1"/>
  </cols>
  <sheetData>
    <row r="1" ht="39" customHeight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1" t="s">
        <v>13</v>
      </c>
      <c r="O1" s="11" t="s">
        <v>14</v>
      </c>
      <c r="P1" s="44" t="s">
        <v>15</v>
      </c>
      <c r="Q1" s="45" t="s">
        <v>16</v>
      </c>
      <c r="R1" s="45" t="s">
        <v>17</v>
      </c>
      <c r="S1" s="45" t="s">
        <v>10</v>
      </c>
      <c r="T1" s="46" t="s">
        <v>18</v>
      </c>
      <c r="U1" s="46" t="s">
        <v>19</v>
      </c>
      <c r="V1" s="46" t="s">
        <v>20</v>
      </c>
      <c r="W1" s="47" t="s">
        <v>21</v>
      </c>
      <c r="X1" s="45" t="s">
        <v>7</v>
      </c>
    </row>
    <row r="2" ht="16.15" customHeight="1" spans="1:24">
      <c r="A2" s="16">
        <v>1</v>
      </c>
      <c r="B2" s="17" t="s">
        <v>22</v>
      </c>
      <c r="C2" s="17" t="s">
        <v>23</v>
      </c>
      <c r="D2" s="20" t="s">
        <v>24</v>
      </c>
      <c r="E2" s="20" t="s">
        <v>25</v>
      </c>
      <c r="F2" s="48" t="s">
        <v>26</v>
      </c>
      <c r="G2" s="20" t="s">
        <v>27</v>
      </c>
      <c r="H2" s="20" t="s">
        <v>28</v>
      </c>
      <c r="I2" s="20">
        <v>90</v>
      </c>
      <c r="J2" s="49">
        <v>76</v>
      </c>
      <c r="K2" s="49">
        <v>26</v>
      </c>
      <c r="L2" s="7">
        <f>I2-J2</f>
        <v>14</v>
      </c>
      <c r="M2" s="29" t="s">
        <v>29</v>
      </c>
      <c r="N2" s="11">
        <v>74</v>
      </c>
      <c r="O2" s="50" t="s">
        <v>30</v>
      </c>
      <c r="P2" s="44"/>
      <c r="Q2" s="51">
        <v>90</v>
      </c>
      <c r="R2" s="51"/>
      <c r="S2" s="51"/>
      <c r="T2" s="24">
        <f>R2-Q2</f>
        <v>-90</v>
      </c>
      <c r="U2" s="52"/>
      <c r="V2" s="52">
        <f>R2-J2</f>
        <v>-76</v>
      </c>
      <c r="W2" s="52"/>
      <c r="X2" s="52"/>
    </row>
    <row r="3" ht="16.15" customHeight="1" spans="1:24">
      <c r="A3" s="16">
        <v>2</v>
      </c>
      <c r="B3" s="17" t="s">
        <v>22</v>
      </c>
      <c r="C3" s="17" t="s">
        <v>23</v>
      </c>
      <c r="D3" s="20" t="s">
        <v>31</v>
      </c>
      <c r="E3" s="20" t="s">
        <v>25</v>
      </c>
      <c r="F3" s="48" t="s">
        <v>26</v>
      </c>
      <c r="G3" s="20" t="s">
        <v>27</v>
      </c>
      <c r="H3" s="20" t="s">
        <v>32</v>
      </c>
      <c r="I3" s="20">
        <v>90</v>
      </c>
      <c r="J3" s="49">
        <v>97</v>
      </c>
      <c r="K3" s="49">
        <v>5</v>
      </c>
      <c r="L3" s="7">
        <f t="shared" ref="L3:L45" si="0">I3-J3</f>
        <v>-7</v>
      </c>
      <c r="M3" s="29" t="s">
        <v>29</v>
      </c>
      <c r="N3" s="50" t="s">
        <v>33</v>
      </c>
      <c r="O3" s="11"/>
      <c r="P3" s="44"/>
      <c r="Q3" s="51">
        <v>98</v>
      </c>
      <c r="R3" s="51"/>
      <c r="S3" s="51"/>
      <c r="T3" s="24">
        <f t="shared" ref="T3:T34" si="1">R3-Q3</f>
        <v>-98</v>
      </c>
      <c r="U3" s="52"/>
      <c r="V3" s="52">
        <f t="shared" ref="V3:V34" si="2">R3-J3</f>
        <v>-97</v>
      </c>
      <c r="W3" s="52"/>
      <c r="X3" s="52"/>
    </row>
    <row r="4" ht="16.15" customHeight="1" spans="1:24">
      <c r="A4" s="16">
        <v>3</v>
      </c>
      <c r="B4" s="17" t="s">
        <v>22</v>
      </c>
      <c r="C4" s="17" t="s">
        <v>23</v>
      </c>
      <c r="D4" s="20" t="s">
        <v>34</v>
      </c>
      <c r="E4" s="20" t="s">
        <v>25</v>
      </c>
      <c r="F4" s="48" t="s">
        <v>35</v>
      </c>
      <c r="G4" s="20"/>
      <c r="H4" s="20"/>
      <c r="I4" s="20">
        <v>90</v>
      </c>
      <c r="J4" s="49">
        <v>84</v>
      </c>
      <c r="K4" s="49">
        <v>15</v>
      </c>
      <c r="L4" s="7">
        <f t="shared" si="0"/>
        <v>6</v>
      </c>
      <c r="M4" s="29" t="s">
        <v>36</v>
      </c>
      <c r="N4" s="11">
        <v>99</v>
      </c>
      <c r="O4" s="50" t="s">
        <v>30</v>
      </c>
      <c r="P4" s="44"/>
      <c r="Q4" s="51">
        <v>90</v>
      </c>
      <c r="R4" s="51"/>
      <c r="S4" s="51"/>
      <c r="T4" s="24">
        <f t="shared" si="1"/>
        <v>-90</v>
      </c>
      <c r="U4" s="52"/>
      <c r="V4" s="52">
        <f t="shared" si="2"/>
        <v>-84</v>
      </c>
      <c r="W4" s="52"/>
      <c r="X4" s="52"/>
    </row>
    <row r="5" ht="16.15" customHeight="1" spans="1:24">
      <c r="A5" s="16">
        <v>4</v>
      </c>
      <c r="B5" s="17" t="s">
        <v>22</v>
      </c>
      <c r="C5" s="17" t="s">
        <v>23</v>
      </c>
      <c r="D5" s="20" t="s">
        <v>37</v>
      </c>
      <c r="E5" s="20" t="s">
        <v>25</v>
      </c>
      <c r="F5" s="48" t="s">
        <v>38</v>
      </c>
      <c r="G5" s="20" t="s">
        <v>39</v>
      </c>
      <c r="H5" s="20" t="s">
        <v>40</v>
      </c>
      <c r="I5" s="20">
        <v>70</v>
      </c>
      <c r="J5" s="49">
        <v>79</v>
      </c>
      <c r="K5" s="49">
        <v>18</v>
      </c>
      <c r="L5" s="7">
        <f t="shared" si="0"/>
        <v>-9</v>
      </c>
      <c r="M5" s="29" t="s">
        <v>29</v>
      </c>
      <c r="N5" s="11">
        <v>74</v>
      </c>
      <c r="O5" s="50" t="s">
        <v>41</v>
      </c>
      <c r="P5" s="53" t="s">
        <v>42</v>
      </c>
      <c r="Q5" s="51">
        <v>80</v>
      </c>
      <c r="R5" s="51"/>
      <c r="S5" s="51"/>
      <c r="T5" s="24">
        <f t="shared" si="1"/>
        <v>-80</v>
      </c>
      <c r="U5" s="52"/>
      <c r="V5" s="52">
        <f t="shared" si="2"/>
        <v>-79</v>
      </c>
      <c r="W5" s="52"/>
      <c r="X5" s="52"/>
    </row>
    <row r="6" ht="16.15" customHeight="1" spans="1:24">
      <c r="A6" s="16">
        <v>6</v>
      </c>
      <c r="B6" s="17" t="s">
        <v>22</v>
      </c>
      <c r="C6" s="17" t="s">
        <v>23</v>
      </c>
      <c r="D6" s="20" t="s">
        <v>43</v>
      </c>
      <c r="E6" s="20" t="s">
        <v>25</v>
      </c>
      <c r="F6" s="48" t="s">
        <v>33</v>
      </c>
      <c r="G6" s="20"/>
      <c r="H6" s="20"/>
      <c r="I6" s="20">
        <v>80</v>
      </c>
      <c r="J6" s="49">
        <v>70</v>
      </c>
      <c r="K6" s="49">
        <v>23</v>
      </c>
      <c r="L6" s="7">
        <f t="shared" si="0"/>
        <v>10</v>
      </c>
      <c r="M6" s="29" t="s">
        <v>29</v>
      </c>
      <c r="N6" s="50" t="s">
        <v>35</v>
      </c>
      <c r="O6" s="11"/>
      <c r="P6" s="44"/>
      <c r="Q6" s="51">
        <v>80</v>
      </c>
      <c r="R6" s="51"/>
      <c r="S6" s="51"/>
      <c r="T6" s="24">
        <f t="shared" si="1"/>
        <v>-80</v>
      </c>
      <c r="U6" s="52"/>
      <c r="V6" s="52">
        <f t="shared" si="2"/>
        <v>-70</v>
      </c>
      <c r="W6" s="52"/>
      <c r="X6" s="52"/>
    </row>
    <row r="7" ht="16.15" customHeight="1" spans="1:24">
      <c r="A7" s="16">
        <v>8</v>
      </c>
      <c r="B7" s="17" t="s">
        <v>22</v>
      </c>
      <c r="C7" s="17" t="s">
        <v>23</v>
      </c>
      <c r="D7" s="20" t="s">
        <v>44</v>
      </c>
      <c r="E7" s="20" t="s">
        <v>25</v>
      </c>
      <c r="F7" s="20" t="s">
        <v>45</v>
      </c>
      <c r="G7" s="20" t="s">
        <v>46</v>
      </c>
      <c r="H7" s="20" t="s">
        <v>47</v>
      </c>
      <c r="I7" s="20">
        <v>90</v>
      </c>
      <c r="J7" s="49">
        <v>92</v>
      </c>
      <c r="K7" s="49">
        <v>9</v>
      </c>
      <c r="L7" s="7">
        <f t="shared" si="0"/>
        <v>-2</v>
      </c>
      <c r="M7" s="29" t="s">
        <v>36</v>
      </c>
      <c r="N7" s="11">
        <v>87</v>
      </c>
      <c r="O7" s="50"/>
      <c r="P7" s="44"/>
      <c r="Q7" s="51">
        <v>95</v>
      </c>
      <c r="R7" s="51">
        <v>95</v>
      </c>
      <c r="S7" s="51"/>
      <c r="T7" s="24">
        <f t="shared" si="1"/>
        <v>0</v>
      </c>
      <c r="U7" s="52"/>
      <c r="V7" s="52">
        <f t="shared" si="2"/>
        <v>3</v>
      </c>
      <c r="W7" s="52"/>
      <c r="X7" s="52"/>
    </row>
    <row r="8" ht="16.15" customHeight="1" spans="1:24">
      <c r="A8" s="16">
        <v>11</v>
      </c>
      <c r="B8" s="17" t="s">
        <v>22</v>
      </c>
      <c r="C8" s="17" t="s">
        <v>23</v>
      </c>
      <c r="D8" s="20" t="s">
        <v>48</v>
      </c>
      <c r="E8" s="20" t="s">
        <v>25</v>
      </c>
      <c r="F8" s="20" t="s">
        <v>49</v>
      </c>
      <c r="G8" s="20" t="s">
        <v>50</v>
      </c>
      <c r="H8" s="20" t="s">
        <v>51</v>
      </c>
      <c r="I8" s="20">
        <v>90</v>
      </c>
      <c r="J8" s="49">
        <v>80</v>
      </c>
      <c r="K8" s="49">
        <v>16</v>
      </c>
      <c r="L8" s="7">
        <f t="shared" si="0"/>
        <v>10</v>
      </c>
      <c r="M8" s="29" t="s">
        <v>29</v>
      </c>
      <c r="N8" s="50" t="s">
        <v>35</v>
      </c>
      <c r="O8" s="50"/>
      <c r="P8" s="44"/>
      <c r="Q8" s="51">
        <v>90</v>
      </c>
      <c r="R8" s="51"/>
      <c r="S8" s="51"/>
      <c r="T8" s="24">
        <f t="shared" si="1"/>
        <v>-90</v>
      </c>
      <c r="U8" s="52"/>
      <c r="V8" s="52">
        <f t="shared" si="2"/>
        <v>-80</v>
      </c>
      <c r="W8" s="52"/>
      <c r="X8" s="52"/>
    </row>
    <row r="9" ht="16.15" customHeight="1" spans="1:24">
      <c r="A9" s="16">
        <v>12</v>
      </c>
      <c r="B9" s="17" t="s">
        <v>22</v>
      </c>
      <c r="C9" s="17" t="s">
        <v>23</v>
      </c>
      <c r="D9" s="19" t="s">
        <v>52</v>
      </c>
      <c r="E9" s="20" t="s">
        <v>25</v>
      </c>
      <c r="F9" s="19" t="s">
        <v>45</v>
      </c>
      <c r="G9" s="19" t="s">
        <v>53</v>
      </c>
      <c r="H9" s="19" t="s">
        <v>54</v>
      </c>
      <c r="I9" s="19">
        <v>90</v>
      </c>
      <c r="J9" s="49">
        <v>96</v>
      </c>
      <c r="K9" s="49">
        <v>4</v>
      </c>
      <c r="L9" s="7">
        <f t="shared" si="0"/>
        <v>-6</v>
      </c>
      <c r="M9" s="29" t="s">
        <v>29</v>
      </c>
      <c r="N9" s="11">
        <v>97</v>
      </c>
      <c r="O9" s="50" t="s">
        <v>30</v>
      </c>
      <c r="P9" s="44"/>
      <c r="Q9" s="51">
        <v>100</v>
      </c>
      <c r="R9" s="51"/>
      <c r="S9" s="51"/>
      <c r="T9" s="24">
        <f t="shared" si="1"/>
        <v>-100</v>
      </c>
      <c r="U9" s="52"/>
      <c r="V9" s="52">
        <f t="shared" si="2"/>
        <v>-96</v>
      </c>
      <c r="W9" s="52"/>
      <c r="X9" s="52"/>
    </row>
    <row r="10" ht="16.15" customHeight="1" spans="1:24">
      <c r="A10" s="16">
        <v>26</v>
      </c>
      <c r="B10" s="17" t="s">
        <v>22</v>
      </c>
      <c r="C10" s="17" t="s">
        <v>55</v>
      </c>
      <c r="D10" s="20" t="s">
        <v>56</v>
      </c>
      <c r="E10" s="20" t="s">
        <v>25</v>
      </c>
      <c r="F10" s="20" t="s">
        <v>57</v>
      </c>
      <c r="G10" s="20" t="s">
        <v>58</v>
      </c>
      <c r="H10" s="54" t="s">
        <v>59</v>
      </c>
      <c r="I10" s="20">
        <v>93</v>
      </c>
      <c r="J10" s="49">
        <v>89</v>
      </c>
      <c r="K10" s="49">
        <v>5</v>
      </c>
      <c r="L10" s="7">
        <v>-4</v>
      </c>
      <c r="M10" s="29" t="s">
        <v>36</v>
      </c>
      <c r="N10" s="11" t="s">
        <v>35</v>
      </c>
      <c r="O10" s="11"/>
      <c r="P10" s="44"/>
      <c r="Q10" s="51">
        <v>90</v>
      </c>
      <c r="R10" s="51">
        <v>87</v>
      </c>
      <c r="S10" s="51"/>
      <c r="T10" s="24">
        <f t="shared" si="1"/>
        <v>-3</v>
      </c>
      <c r="U10" s="52"/>
      <c r="V10" s="52">
        <f t="shared" si="2"/>
        <v>-2</v>
      </c>
      <c r="W10" s="52"/>
      <c r="X10" s="52"/>
    </row>
    <row r="11" ht="16.15" customHeight="1" spans="1:24">
      <c r="A11" s="16">
        <v>27</v>
      </c>
      <c r="B11" s="17" t="s">
        <v>22</v>
      </c>
      <c r="C11" s="17" t="s">
        <v>55</v>
      </c>
      <c r="D11" s="20" t="s">
        <v>60</v>
      </c>
      <c r="E11" s="20" t="s">
        <v>25</v>
      </c>
      <c r="F11" s="20" t="s">
        <v>61</v>
      </c>
      <c r="G11" s="20" t="s">
        <v>62</v>
      </c>
      <c r="H11" s="20" t="s">
        <v>63</v>
      </c>
      <c r="I11" s="20">
        <v>95</v>
      </c>
      <c r="J11" s="49">
        <v>98</v>
      </c>
      <c r="K11" s="49">
        <v>2</v>
      </c>
      <c r="L11" s="7">
        <v>3</v>
      </c>
      <c r="M11" s="29" t="s">
        <v>64</v>
      </c>
      <c r="N11" s="11" t="s">
        <v>35</v>
      </c>
      <c r="O11" s="11"/>
      <c r="P11" s="44"/>
      <c r="Q11" s="51">
        <v>95</v>
      </c>
      <c r="R11" s="51">
        <v>96</v>
      </c>
      <c r="S11" s="51"/>
      <c r="T11" s="24">
        <f t="shared" si="1"/>
        <v>1</v>
      </c>
      <c r="U11" s="52"/>
      <c r="V11" s="52">
        <f t="shared" si="2"/>
        <v>-2</v>
      </c>
      <c r="W11" s="52"/>
      <c r="X11" s="52"/>
    </row>
    <row r="12" ht="16.15" customHeight="1" spans="1:24">
      <c r="A12" s="16">
        <v>28</v>
      </c>
      <c r="B12" s="17" t="s">
        <v>22</v>
      </c>
      <c r="C12" s="17" t="s">
        <v>55</v>
      </c>
      <c r="D12" s="20" t="s">
        <v>65</v>
      </c>
      <c r="E12" s="20" t="s">
        <v>25</v>
      </c>
      <c r="F12" s="20" t="s">
        <v>66</v>
      </c>
      <c r="G12" s="20" t="s">
        <v>67</v>
      </c>
      <c r="H12" s="20" t="s">
        <v>68</v>
      </c>
      <c r="I12" s="20">
        <v>80</v>
      </c>
      <c r="J12" s="49">
        <v>85</v>
      </c>
      <c r="K12" s="49">
        <v>20</v>
      </c>
      <c r="L12" s="7">
        <f t="shared" si="0"/>
        <v>-5</v>
      </c>
      <c r="M12" s="29" t="s">
        <v>36</v>
      </c>
      <c r="N12" s="11">
        <v>83</v>
      </c>
      <c r="O12" s="11"/>
      <c r="P12" s="44"/>
      <c r="Q12" s="51">
        <v>85</v>
      </c>
      <c r="R12" s="51"/>
      <c r="S12" s="51"/>
      <c r="T12" s="24">
        <f t="shared" si="1"/>
        <v>-85</v>
      </c>
      <c r="U12" s="52"/>
      <c r="V12" s="52">
        <f t="shared" si="2"/>
        <v>-85</v>
      </c>
      <c r="W12" s="52"/>
      <c r="X12" s="52"/>
    </row>
    <row r="13" ht="16.15" customHeight="1" spans="1:24">
      <c r="A13" s="16">
        <v>29</v>
      </c>
      <c r="B13" s="17" t="s">
        <v>22</v>
      </c>
      <c r="C13" s="17" t="s">
        <v>55</v>
      </c>
      <c r="D13" s="20" t="s">
        <v>69</v>
      </c>
      <c r="E13" s="20" t="s">
        <v>25</v>
      </c>
      <c r="F13" s="20" t="s">
        <v>70</v>
      </c>
      <c r="G13" s="20" t="s">
        <v>71</v>
      </c>
      <c r="H13" s="20" t="s">
        <v>72</v>
      </c>
      <c r="I13" s="20">
        <v>80</v>
      </c>
      <c r="J13" s="49">
        <v>85</v>
      </c>
      <c r="K13" s="49">
        <v>27</v>
      </c>
      <c r="L13" s="7">
        <f t="shared" si="0"/>
        <v>-5</v>
      </c>
      <c r="M13" s="29" t="s">
        <v>29</v>
      </c>
      <c r="N13" s="11">
        <v>73</v>
      </c>
      <c r="O13" s="11"/>
      <c r="P13" s="44"/>
      <c r="Q13" s="51">
        <v>88</v>
      </c>
      <c r="R13" s="51"/>
      <c r="S13" s="51"/>
      <c r="T13" s="24">
        <f t="shared" si="1"/>
        <v>-88</v>
      </c>
      <c r="U13" s="52"/>
      <c r="V13" s="52">
        <f t="shared" si="2"/>
        <v>-85</v>
      </c>
      <c r="W13" s="52"/>
      <c r="X13" s="52"/>
    </row>
    <row r="14" ht="16.15" customHeight="1" spans="1:24">
      <c r="A14" s="16">
        <v>30</v>
      </c>
      <c r="B14" s="17" t="s">
        <v>22</v>
      </c>
      <c r="C14" s="17" t="s">
        <v>55</v>
      </c>
      <c r="D14" s="20" t="s">
        <v>73</v>
      </c>
      <c r="E14" s="20" t="s">
        <v>25</v>
      </c>
      <c r="F14" s="20" t="s">
        <v>45</v>
      </c>
      <c r="G14" s="20" t="s">
        <v>74</v>
      </c>
      <c r="H14" s="20" t="s">
        <v>75</v>
      </c>
      <c r="I14" s="20">
        <v>86</v>
      </c>
      <c r="J14" s="49">
        <v>90</v>
      </c>
      <c r="K14" s="49">
        <v>17</v>
      </c>
      <c r="L14" s="7">
        <f t="shared" si="0"/>
        <v>-4</v>
      </c>
      <c r="M14" s="29" t="s">
        <v>64</v>
      </c>
      <c r="N14" s="11" t="s">
        <v>76</v>
      </c>
      <c r="O14" s="11"/>
      <c r="P14" s="44"/>
      <c r="Q14" s="51">
        <v>93</v>
      </c>
      <c r="R14" s="51">
        <v>89</v>
      </c>
      <c r="S14" s="51"/>
      <c r="T14" s="24">
        <f t="shared" si="1"/>
        <v>-4</v>
      </c>
      <c r="U14" s="52"/>
      <c r="V14" s="52">
        <f t="shared" si="2"/>
        <v>-1</v>
      </c>
      <c r="W14" s="52"/>
      <c r="X14" s="52"/>
    </row>
    <row r="15" ht="16.15" customHeight="1" spans="1:24">
      <c r="A15" s="16">
        <v>31</v>
      </c>
      <c r="B15" s="17" t="s">
        <v>22</v>
      </c>
      <c r="C15" s="17" t="s">
        <v>55</v>
      </c>
      <c r="D15" s="20" t="s">
        <v>77</v>
      </c>
      <c r="E15" s="20" t="s">
        <v>25</v>
      </c>
      <c r="F15" s="20" t="s">
        <v>78</v>
      </c>
      <c r="G15" s="20" t="s">
        <v>67</v>
      </c>
      <c r="H15" s="20" t="s">
        <v>79</v>
      </c>
      <c r="I15" s="20">
        <v>85</v>
      </c>
      <c r="J15" s="55" t="s">
        <v>35</v>
      </c>
      <c r="K15" s="49"/>
      <c r="L15" s="7"/>
      <c r="M15" s="7"/>
      <c r="N15" s="11" t="s">
        <v>35</v>
      </c>
      <c r="O15" s="11"/>
      <c r="P15" s="44"/>
      <c r="Q15" s="51">
        <v>85</v>
      </c>
      <c r="R15" s="51"/>
      <c r="S15" s="51"/>
      <c r="T15" s="24">
        <f t="shared" si="1"/>
        <v>-85</v>
      </c>
      <c r="U15" s="52"/>
      <c r="V15" s="52" t="e">
        <f t="shared" si="2"/>
        <v>#VALUE!</v>
      </c>
      <c r="W15" s="52"/>
      <c r="X15" s="52"/>
    </row>
    <row r="16" ht="16.15" customHeight="1" spans="1:24">
      <c r="A16" s="16">
        <v>32</v>
      </c>
      <c r="B16" s="17" t="s">
        <v>22</v>
      </c>
      <c r="C16" s="17" t="s">
        <v>55</v>
      </c>
      <c r="D16" s="20" t="s">
        <v>80</v>
      </c>
      <c r="E16" s="20" t="s">
        <v>25</v>
      </c>
      <c r="F16" s="20" t="s">
        <v>81</v>
      </c>
      <c r="G16" s="20" t="s">
        <v>82</v>
      </c>
      <c r="H16" s="20" t="s">
        <v>83</v>
      </c>
      <c r="I16" s="20">
        <v>85</v>
      </c>
      <c r="J16" s="55" t="s">
        <v>84</v>
      </c>
      <c r="K16" s="49"/>
      <c r="L16" s="7"/>
      <c r="M16" s="7"/>
      <c r="N16" s="11" t="s">
        <v>85</v>
      </c>
      <c r="O16" s="11"/>
      <c r="P16" s="44"/>
      <c r="Q16" s="51"/>
      <c r="R16" s="51"/>
      <c r="S16" s="51"/>
      <c r="T16" s="24">
        <f t="shared" si="1"/>
        <v>0</v>
      </c>
      <c r="U16" s="52"/>
      <c r="V16" s="52" t="e">
        <f t="shared" si="2"/>
        <v>#VALUE!</v>
      </c>
      <c r="W16" s="52"/>
      <c r="X16" s="52"/>
    </row>
    <row r="17" ht="16.15" customHeight="1" spans="1:24">
      <c r="A17" s="16">
        <v>33</v>
      </c>
      <c r="B17" s="17" t="s">
        <v>22</v>
      </c>
      <c r="C17" s="17" t="s">
        <v>55</v>
      </c>
      <c r="D17" s="20" t="s">
        <v>86</v>
      </c>
      <c r="E17" s="20" t="s">
        <v>25</v>
      </c>
      <c r="F17" s="20" t="s">
        <v>87</v>
      </c>
      <c r="G17" s="20" t="s">
        <v>88</v>
      </c>
      <c r="H17" s="20" t="s">
        <v>59</v>
      </c>
      <c r="I17" s="20">
        <v>96</v>
      </c>
      <c r="J17" s="49">
        <v>87</v>
      </c>
      <c r="K17" s="49">
        <v>23</v>
      </c>
      <c r="L17" s="7">
        <f t="shared" si="0"/>
        <v>9</v>
      </c>
      <c r="M17" s="29" t="s">
        <v>89</v>
      </c>
      <c r="N17" s="11">
        <v>84</v>
      </c>
      <c r="O17" s="11"/>
      <c r="P17" s="44"/>
      <c r="Q17" s="51">
        <v>93</v>
      </c>
      <c r="R17" s="51">
        <v>96</v>
      </c>
      <c r="S17" s="51"/>
      <c r="T17" s="24">
        <f t="shared" si="1"/>
        <v>3</v>
      </c>
      <c r="U17" s="52"/>
      <c r="V17" s="52">
        <f t="shared" si="2"/>
        <v>9</v>
      </c>
      <c r="W17" s="52"/>
      <c r="X17" s="52"/>
    </row>
    <row r="18" ht="16.15" customHeight="1" spans="1:24">
      <c r="A18" s="16">
        <v>34</v>
      </c>
      <c r="B18" s="17" t="s">
        <v>22</v>
      </c>
      <c r="C18" s="17" t="s">
        <v>55</v>
      </c>
      <c r="D18" s="20" t="s">
        <v>90</v>
      </c>
      <c r="E18" s="20" t="s">
        <v>25</v>
      </c>
      <c r="F18" s="20" t="s">
        <v>91</v>
      </c>
      <c r="G18" s="20" t="s">
        <v>92</v>
      </c>
      <c r="H18" s="20" t="s">
        <v>93</v>
      </c>
      <c r="I18" s="20">
        <v>100</v>
      </c>
      <c r="J18" s="49">
        <v>65</v>
      </c>
      <c r="K18" s="49">
        <v>40</v>
      </c>
      <c r="L18" s="7">
        <f t="shared" si="0"/>
        <v>35</v>
      </c>
      <c r="M18" s="29" t="s">
        <v>94</v>
      </c>
      <c r="N18" s="11" t="s">
        <v>35</v>
      </c>
      <c r="O18" s="11"/>
      <c r="P18" s="44"/>
      <c r="Q18" s="51">
        <v>93</v>
      </c>
      <c r="R18" s="51"/>
      <c r="S18" s="51"/>
      <c r="T18" s="24">
        <f t="shared" si="1"/>
        <v>-93</v>
      </c>
      <c r="U18" s="52"/>
      <c r="V18" s="52">
        <f t="shared" si="2"/>
        <v>-65</v>
      </c>
      <c r="W18" s="52"/>
      <c r="X18" s="52"/>
    </row>
    <row r="19" ht="16.15" customHeight="1" spans="1:24">
      <c r="A19" s="16">
        <v>35</v>
      </c>
      <c r="B19" s="17" t="s">
        <v>22</v>
      </c>
      <c r="C19" s="17" t="s">
        <v>55</v>
      </c>
      <c r="D19" s="20" t="s">
        <v>95</v>
      </c>
      <c r="E19" s="20" t="s">
        <v>25</v>
      </c>
      <c r="F19" s="20" t="s">
        <v>96</v>
      </c>
      <c r="G19" s="20" t="s">
        <v>92</v>
      </c>
      <c r="H19" s="20" t="s">
        <v>97</v>
      </c>
      <c r="I19" s="20">
        <v>94</v>
      </c>
      <c r="J19" s="49">
        <v>84</v>
      </c>
      <c r="K19" s="49">
        <v>20</v>
      </c>
      <c r="L19" s="7">
        <f t="shared" si="0"/>
        <v>10</v>
      </c>
      <c r="M19" s="29" t="s">
        <v>98</v>
      </c>
      <c r="N19" s="11" t="s">
        <v>76</v>
      </c>
      <c r="O19" s="11"/>
      <c r="P19" s="44"/>
      <c r="Q19" s="51">
        <v>95</v>
      </c>
      <c r="R19" s="51"/>
      <c r="S19" s="51"/>
      <c r="T19" s="24">
        <f t="shared" si="1"/>
        <v>-95</v>
      </c>
      <c r="U19" s="52"/>
      <c r="V19" s="52">
        <f t="shared" si="2"/>
        <v>-84</v>
      </c>
      <c r="W19" s="52"/>
      <c r="X19" s="52"/>
    </row>
    <row r="20" ht="16.15" customHeight="1" spans="1:24">
      <c r="A20" s="16">
        <v>36</v>
      </c>
      <c r="B20" s="17" t="s">
        <v>22</v>
      </c>
      <c r="C20" s="17" t="s">
        <v>55</v>
      </c>
      <c r="D20" s="20" t="s">
        <v>99</v>
      </c>
      <c r="E20" s="20" t="s">
        <v>25</v>
      </c>
      <c r="F20" s="20" t="s">
        <v>100</v>
      </c>
      <c r="G20" s="20" t="s">
        <v>101</v>
      </c>
      <c r="H20" s="20" t="s">
        <v>59</v>
      </c>
      <c r="I20" s="20">
        <v>96</v>
      </c>
      <c r="J20" s="49">
        <v>93</v>
      </c>
      <c r="K20" s="49">
        <v>2</v>
      </c>
      <c r="L20" s="7">
        <f t="shared" si="0"/>
        <v>3</v>
      </c>
      <c r="M20" s="29" t="s">
        <v>29</v>
      </c>
      <c r="N20" s="11" t="s">
        <v>35</v>
      </c>
      <c r="O20" s="11"/>
      <c r="P20" s="44"/>
      <c r="Q20" s="51">
        <v>95</v>
      </c>
      <c r="R20" s="51"/>
      <c r="S20" s="51"/>
      <c r="T20" s="24">
        <f t="shared" si="1"/>
        <v>-95</v>
      </c>
      <c r="U20" s="52"/>
      <c r="V20" s="52">
        <f t="shared" si="2"/>
        <v>-93</v>
      </c>
      <c r="W20" s="52"/>
      <c r="X20" s="52"/>
    </row>
    <row r="21" ht="16.15" customHeight="1" spans="1:24">
      <c r="A21" s="16">
        <v>37</v>
      </c>
      <c r="B21" s="17" t="s">
        <v>22</v>
      </c>
      <c r="C21" s="17" t="s">
        <v>55</v>
      </c>
      <c r="D21" s="20" t="s">
        <v>102</v>
      </c>
      <c r="E21" s="20" t="s">
        <v>25</v>
      </c>
      <c r="F21" s="20" t="s">
        <v>103</v>
      </c>
      <c r="G21" s="20" t="s">
        <v>67</v>
      </c>
      <c r="H21" s="20" t="s">
        <v>68</v>
      </c>
      <c r="I21" s="20">
        <v>85</v>
      </c>
      <c r="J21" s="49">
        <v>87</v>
      </c>
      <c r="K21" s="49">
        <v>17</v>
      </c>
      <c r="L21" s="7">
        <f t="shared" si="0"/>
        <v>-2</v>
      </c>
      <c r="M21" s="29" t="s">
        <v>29</v>
      </c>
      <c r="N21" s="11" t="s">
        <v>35</v>
      </c>
      <c r="O21" s="11"/>
      <c r="P21" s="44"/>
      <c r="Q21" s="51">
        <v>88</v>
      </c>
      <c r="R21" s="51"/>
      <c r="S21" s="51"/>
      <c r="T21" s="24">
        <f t="shared" si="1"/>
        <v>-88</v>
      </c>
      <c r="U21" s="52"/>
      <c r="V21" s="52">
        <f t="shared" si="2"/>
        <v>-87</v>
      </c>
      <c r="W21" s="52"/>
      <c r="X21" s="52"/>
    </row>
    <row r="22" ht="16.15" customHeight="1" spans="1:24">
      <c r="A22" s="16">
        <v>38</v>
      </c>
      <c r="B22" s="17" t="s">
        <v>22</v>
      </c>
      <c r="C22" s="17" t="s">
        <v>55</v>
      </c>
      <c r="D22" s="20" t="s">
        <v>104</v>
      </c>
      <c r="E22" s="20" t="s">
        <v>25</v>
      </c>
      <c r="F22" s="20" t="s">
        <v>105</v>
      </c>
      <c r="G22" s="20" t="s">
        <v>106</v>
      </c>
      <c r="H22" s="20" t="s">
        <v>107</v>
      </c>
      <c r="I22" s="20">
        <v>94</v>
      </c>
      <c r="J22" s="49">
        <v>91</v>
      </c>
      <c r="K22" s="49">
        <v>13</v>
      </c>
      <c r="L22" s="7">
        <f t="shared" si="0"/>
        <v>3</v>
      </c>
      <c r="M22" s="29" t="s">
        <v>29</v>
      </c>
      <c r="N22" s="11">
        <v>84</v>
      </c>
      <c r="O22" s="11"/>
      <c r="P22" s="44"/>
      <c r="Q22" s="51">
        <v>93</v>
      </c>
      <c r="R22" s="51">
        <v>99</v>
      </c>
      <c r="S22" s="51"/>
      <c r="T22" s="24">
        <f t="shared" si="1"/>
        <v>6</v>
      </c>
      <c r="U22" s="52"/>
      <c r="V22" s="52">
        <f t="shared" si="2"/>
        <v>8</v>
      </c>
      <c r="W22" s="52"/>
      <c r="X22" s="52"/>
    </row>
    <row r="23" ht="16.15" customHeight="1" spans="1:24">
      <c r="A23" s="16">
        <v>39</v>
      </c>
      <c r="B23" s="17" t="s">
        <v>22</v>
      </c>
      <c r="C23" s="17" t="s">
        <v>55</v>
      </c>
      <c r="D23" s="17" t="s">
        <v>108</v>
      </c>
      <c r="E23" s="20" t="s">
        <v>25</v>
      </c>
      <c r="F23" s="20" t="s">
        <v>109</v>
      </c>
      <c r="G23" s="19" t="s">
        <v>106</v>
      </c>
      <c r="H23" s="19" t="s">
        <v>110</v>
      </c>
      <c r="I23" s="19">
        <v>92</v>
      </c>
      <c r="J23" s="49">
        <v>85</v>
      </c>
      <c r="K23" s="49">
        <v>12</v>
      </c>
      <c r="L23" s="7">
        <f t="shared" si="0"/>
        <v>7</v>
      </c>
      <c r="M23" s="29" t="s">
        <v>36</v>
      </c>
      <c r="N23" s="11" t="s">
        <v>35</v>
      </c>
      <c r="O23" s="11"/>
      <c r="P23" s="44"/>
      <c r="Q23" s="51">
        <v>90</v>
      </c>
      <c r="R23" s="51"/>
      <c r="S23" s="51"/>
      <c r="T23" s="24">
        <f t="shared" si="1"/>
        <v>-90</v>
      </c>
      <c r="U23" s="52"/>
      <c r="V23" s="52">
        <f t="shared" si="2"/>
        <v>-85</v>
      </c>
      <c r="W23" s="52"/>
      <c r="X23" s="52"/>
    </row>
    <row r="24" ht="16.15" customHeight="1" spans="1:24">
      <c r="A24" s="16">
        <v>40</v>
      </c>
      <c r="B24" s="17" t="s">
        <v>22</v>
      </c>
      <c r="C24" s="17" t="s">
        <v>55</v>
      </c>
      <c r="D24" s="17" t="s">
        <v>111</v>
      </c>
      <c r="E24" s="20" t="s">
        <v>25</v>
      </c>
      <c r="F24" s="20" t="s">
        <v>112</v>
      </c>
      <c r="G24" s="19" t="s">
        <v>67</v>
      </c>
      <c r="H24" s="19" t="s">
        <v>113</v>
      </c>
      <c r="I24" s="19">
        <v>80</v>
      </c>
      <c r="J24" s="49">
        <v>83</v>
      </c>
      <c r="K24" s="49">
        <v>20</v>
      </c>
      <c r="L24" s="7">
        <f t="shared" si="0"/>
        <v>-3</v>
      </c>
      <c r="M24" s="29" t="s">
        <v>36</v>
      </c>
      <c r="N24" s="11">
        <v>106</v>
      </c>
      <c r="O24" s="11"/>
      <c r="P24" s="44"/>
      <c r="Q24" s="51">
        <v>85</v>
      </c>
      <c r="R24" s="51">
        <v>86</v>
      </c>
      <c r="S24" s="51"/>
      <c r="T24" s="24">
        <f t="shared" si="1"/>
        <v>1</v>
      </c>
      <c r="U24" s="52"/>
      <c r="V24" s="52">
        <f t="shared" si="2"/>
        <v>3</v>
      </c>
      <c r="W24" s="52"/>
      <c r="X24" s="52"/>
    </row>
    <row r="25" ht="16.15" customHeight="1" spans="1:24">
      <c r="A25" s="16">
        <v>41</v>
      </c>
      <c r="B25" s="17" t="s">
        <v>22</v>
      </c>
      <c r="C25" s="17" t="s">
        <v>55</v>
      </c>
      <c r="D25" s="17" t="s">
        <v>114</v>
      </c>
      <c r="E25" s="20" t="s">
        <v>25</v>
      </c>
      <c r="F25" s="20" t="s">
        <v>115</v>
      </c>
      <c r="G25" s="19" t="s">
        <v>116</v>
      </c>
      <c r="H25" s="19" t="s">
        <v>117</v>
      </c>
      <c r="I25" s="19">
        <v>80</v>
      </c>
      <c r="J25" s="49">
        <v>88</v>
      </c>
      <c r="K25" s="49">
        <v>18</v>
      </c>
      <c r="L25" s="7">
        <f t="shared" si="0"/>
        <v>-8</v>
      </c>
      <c r="M25" s="29" t="s">
        <v>29</v>
      </c>
      <c r="N25" s="11">
        <v>98</v>
      </c>
      <c r="O25" s="11"/>
      <c r="P25" s="44"/>
      <c r="Q25" s="51">
        <v>88</v>
      </c>
      <c r="R25" s="51"/>
      <c r="S25" s="51"/>
      <c r="T25" s="24">
        <f t="shared" si="1"/>
        <v>-88</v>
      </c>
      <c r="U25" s="52"/>
      <c r="V25" s="52">
        <f t="shared" si="2"/>
        <v>-88</v>
      </c>
      <c r="W25" s="52"/>
      <c r="X25" s="52"/>
    </row>
    <row r="26" ht="16.15" customHeight="1" spans="1:24">
      <c r="A26" s="16">
        <v>42</v>
      </c>
      <c r="B26" s="17" t="s">
        <v>22</v>
      </c>
      <c r="C26" s="17" t="s">
        <v>55</v>
      </c>
      <c r="D26" s="17" t="s">
        <v>118</v>
      </c>
      <c r="E26" s="20" t="s">
        <v>25</v>
      </c>
      <c r="F26" s="20" t="s">
        <v>119</v>
      </c>
      <c r="G26" s="19"/>
      <c r="H26" s="19"/>
      <c r="I26" s="19">
        <v>85</v>
      </c>
      <c r="J26" s="49">
        <v>80</v>
      </c>
      <c r="K26" s="49">
        <v>23</v>
      </c>
      <c r="L26" s="7">
        <f t="shared" si="0"/>
        <v>5</v>
      </c>
      <c r="M26" s="29" t="s">
        <v>89</v>
      </c>
      <c r="N26" s="11"/>
      <c r="O26" s="11"/>
      <c r="P26" s="44"/>
      <c r="Q26" s="51">
        <v>85</v>
      </c>
      <c r="R26" s="51"/>
      <c r="S26" s="51"/>
      <c r="T26" s="24">
        <f t="shared" si="1"/>
        <v>-85</v>
      </c>
      <c r="U26" s="52"/>
      <c r="V26" s="52">
        <f t="shared" si="2"/>
        <v>-80</v>
      </c>
      <c r="W26" s="52"/>
      <c r="X26" s="52"/>
    </row>
    <row r="27" ht="16.15" customHeight="1" spans="1:24">
      <c r="A27" s="16">
        <v>43</v>
      </c>
      <c r="B27" s="17" t="s">
        <v>22</v>
      </c>
      <c r="C27" s="17" t="s">
        <v>55</v>
      </c>
      <c r="D27" s="17" t="s">
        <v>120</v>
      </c>
      <c r="E27" s="20" t="s">
        <v>25</v>
      </c>
      <c r="F27" s="20" t="s">
        <v>121</v>
      </c>
      <c r="G27" s="19" t="s">
        <v>122</v>
      </c>
      <c r="H27" s="19" t="s">
        <v>123</v>
      </c>
      <c r="I27" s="19">
        <v>90</v>
      </c>
      <c r="J27" s="49">
        <v>93</v>
      </c>
      <c r="K27" s="49">
        <v>6</v>
      </c>
      <c r="L27" s="7">
        <f t="shared" si="0"/>
        <v>-3</v>
      </c>
      <c r="M27" s="29" t="s">
        <v>64</v>
      </c>
      <c r="N27" s="11">
        <v>85</v>
      </c>
      <c r="O27" s="11"/>
      <c r="P27" s="44"/>
      <c r="Q27" s="51">
        <v>90</v>
      </c>
      <c r="R27" s="51"/>
      <c r="S27" s="51"/>
      <c r="T27" s="24">
        <f t="shared" si="1"/>
        <v>-90</v>
      </c>
      <c r="U27" s="52"/>
      <c r="V27" s="52">
        <f t="shared" si="2"/>
        <v>-93</v>
      </c>
      <c r="W27" s="52"/>
      <c r="X27" s="52"/>
    </row>
    <row r="28" ht="18" spans="1:24">
      <c r="A28" s="16">
        <v>44</v>
      </c>
      <c r="B28" s="17" t="s">
        <v>22</v>
      </c>
      <c r="C28" s="17" t="s">
        <v>55</v>
      </c>
      <c r="D28" s="16" t="s">
        <v>124</v>
      </c>
      <c r="E28" s="20" t="s">
        <v>25</v>
      </c>
      <c r="F28" s="20" t="s">
        <v>125</v>
      </c>
      <c r="G28" s="16" t="s">
        <v>126</v>
      </c>
      <c r="H28" s="16" t="s">
        <v>127</v>
      </c>
      <c r="I28" s="16">
        <v>85</v>
      </c>
      <c r="J28" s="49">
        <v>79</v>
      </c>
      <c r="K28" s="49">
        <v>24</v>
      </c>
      <c r="L28" s="7">
        <f t="shared" si="0"/>
        <v>6</v>
      </c>
      <c r="M28" s="29" t="s">
        <v>89</v>
      </c>
      <c r="N28" s="11" t="s">
        <v>35</v>
      </c>
      <c r="O28" s="11"/>
      <c r="P28" s="44"/>
      <c r="Q28" s="51">
        <v>85</v>
      </c>
      <c r="R28" s="51"/>
      <c r="S28" s="51"/>
      <c r="T28" s="24">
        <f t="shared" si="1"/>
        <v>-85</v>
      </c>
      <c r="U28" s="52"/>
      <c r="V28" s="52">
        <f t="shared" si="2"/>
        <v>-79</v>
      </c>
      <c r="W28" s="52"/>
      <c r="X28" s="52"/>
    </row>
    <row r="29" ht="18" spans="1:24">
      <c r="A29" s="16">
        <v>45</v>
      </c>
      <c r="B29" s="17" t="s">
        <v>22</v>
      </c>
      <c r="C29" s="17" t="s">
        <v>55</v>
      </c>
      <c r="D29" s="16" t="s">
        <v>128</v>
      </c>
      <c r="E29" s="20" t="s">
        <v>25</v>
      </c>
      <c r="F29" s="20" t="s">
        <v>70</v>
      </c>
      <c r="G29" s="16" t="s">
        <v>129</v>
      </c>
      <c r="H29" s="16" t="s">
        <v>130</v>
      </c>
      <c r="I29" s="16">
        <v>85</v>
      </c>
      <c r="J29" s="49">
        <v>84</v>
      </c>
      <c r="K29" s="49">
        <v>20</v>
      </c>
      <c r="L29" s="7">
        <f t="shared" si="0"/>
        <v>1</v>
      </c>
      <c r="M29" s="29" t="s">
        <v>36</v>
      </c>
      <c r="N29" s="11" t="s">
        <v>85</v>
      </c>
      <c r="O29" s="11"/>
      <c r="P29" s="44"/>
      <c r="Q29" s="51">
        <v>88</v>
      </c>
      <c r="R29" s="51"/>
      <c r="S29" s="51"/>
      <c r="T29" s="24">
        <f t="shared" si="1"/>
        <v>-88</v>
      </c>
      <c r="U29" s="52"/>
      <c r="V29" s="52">
        <f t="shared" si="2"/>
        <v>-84</v>
      </c>
      <c r="W29" s="52"/>
      <c r="X29" s="52"/>
    </row>
    <row r="30" ht="18" spans="1:24">
      <c r="A30" s="16">
        <v>46</v>
      </c>
      <c r="B30" s="17" t="s">
        <v>22</v>
      </c>
      <c r="C30" s="17" t="s">
        <v>55</v>
      </c>
      <c r="D30" s="16" t="s">
        <v>131</v>
      </c>
      <c r="E30" s="20" t="s">
        <v>25</v>
      </c>
      <c r="F30" s="20" t="s">
        <v>26</v>
      </c>
      <c r="G30" s="16" t="s">
        <v>132</v>
      </c>
      <c r="H30" s="16" t="s">
        <v>133</v>
      </c>
      <c r="I30" s="16">
        <v>85</v>
      </c>
      <c r="J30" s="49">
        <v>80</v>
      </c>
      <c r="K30" s="49">
        <v>23</v>
      </c>
      <c r="L30" s="7">
        <f t="shared" si="0"/>
        <v>5</v>
      </c>
      <c r="M30" s="29" t="s">
        <v>36</v>
      </c>
      <c r="N30" s="11" t="s">
        <v>35</v>
      </c>
      <c r="O30" s="11"/>
      <c r="P30" s="44"/>
      <c r="Q30" s="51">
        <v>85</v>
      </c>
      <c r="R30" s="51"/>
      <c r="S30" s="51"/>
      <c r="T30" s="24">
        <f t="shared" si="1"/>
        <v>-85</v>
      </c>
      <c r="U30" s="52"/>
      <c r="V30" s="52">
        <f t="shared" si="2"/>
        <v>-80</v>
      </c>
      <c r="W30" s="52"/>
      <c r="X30" s="52"/>
    </row>
    <row r="31" ht="18" spans="1:24">
      <c r="A31" s="16">
        <v>47</v>
      </c>
      <c r="B31" s="17" t="s">
        <v>22</v>
      </c>
      <c r="C31" s="17" t="s">
        <v>55</v>
      </c>
      <c r="D31" s="16" t="s">
        <v>134</v>
      </c>
      <c r="E31" s="20" t="s">
        <v>25</v>
      </c>
      <c r="F31" s="20" t="s">
        <v>38</v>
      </c>
      <c r="G31" s="16" t="s">
        <v>135</v>
      </c>
      <c r="H31" s="16" t="s">
        <v>136</v>
      </c>
      <c r="I31" s="16">
        <v>70</v>
      </c>
      <c r="J31" s="55" t="s">
        <v>85</v>
      </c>
      <c r="K31" s="49"/>
      <c r="L31" s="7"/>
      <c r="M31" s="7"/>
      <c r="N31" s="11" t="s">
        <v>85</v>
      </c>
      <c r="O31" s="11"/>
      <c r="P31" s="44"/>
      <c r="Q31" s="51"/>
      <c r="R31" s="51"/>
      <c r="S31" s="51"/>
      <c r="T31" s="24">
        <f t="shared" si="1"/>
        <v>0</v>
      </c>
      <c r="U31" s="52"/>
      <c r="V31" s="52" t="e">
        <f t="shared" si="2"/>
        <v>#VALUE!</v>
      </c>
      <c r="W31" s="52"/>
      <c r="X31" s="52"/>
    </row>
    <row r="32" ht="18" spans="1:24">
      <c r="A32" s="16">
        <v>48</v>
      </c>
      <c r="B32" s="17" t="s">
        <v>22</v>
      </c>
      <c r="C32" s="17" t="s">
        <v>55</v>
      </c>
      <c r="D32" s="16" t="s">
        <v>137</v>
      </c>
      <c r="E32" s="20" t="s">
        <v>25</v>
      </c>
      <c r="F32" s="20" t="s">
        <v>138</v>
      </c>
      <c r="G32" s="16" t="s">
        <v>139</v>
      </c>
      <c r="H32" s="16" t="s">
        <v>32</v>
      </c>
      <c r="I32" s="16">
        <v>85</v>
      </c>
      <c r="J32" s="49">
        <v>89</v>
      </c>
      <c r="K32" s="49">
        <v>21</v>
      </c>
      <c r="L32" s="7">
        <f t="shared" si="0"/>
        <v>-4</v>
      </c>
      <c r="M32" s="29" t="s">
        <v>29</v>
      </c>
      <c r="N32" s="11">
        <v>75</v>
      </c>
      <c r="O32" s="11"/>
      <c r="P32" s="44"/>
      <c r="Q32" s="51">
        <v>90</v>
      </c>
      <c r="R32" s="51"/>
      <c r="S32" s="51"/>
      <c r="T32" s="24">
        <f t="shared" si="1"/>
        <v>-90</v>
      </c>
      <c r="U32" s="52"/>
      <c r="V32" s="52">
        <f t="shared" si="2"/>
        <v>-89</v>
      </c>
      <c r="W32" s="52"/>
      <c r="X32" s="52"/>
    </row>
    <row r="33" ht="18" spans="1:24">
      <c r="A33" s="16">
        <v>49</v>
      </c>
      <c r="B33" s="17" t="s">
        <v>22</v>
      </c>
      <c r="C33" s="17" t="s">
        <v>55</v>
      </c>
      <c r="D33" s="16" t="s">
        <v>140</v>
      </c>
      <c r="E33" s="20" t="s">
        <v>25</v>
      </c>
      <c r="F33" s="20" t="s">
        <v>141</v>
      </c>
      <c r="G33" s="16" t="s">
        <v>142</v>
      </c>
      <c r="H33" s="16" t="s">
        <v>143</v>
      </c>
      <c r="I33" s="16">
        <v>75</v>
      </c>
      <c r="J33" s="49">
        <v>89</v>
      </c>
      <c r="K33" s="49">
        <v>12</v>
      </c>
      <c r="L33" s="7">
        <f t="shared" si="0"/>
        <v>-14</v>
      </c>
      <c r="M33" s="29" t="s">
        <v>29</v>
      </c>
      <c r="N33" s="11">
        <v>76</v>
      </c>
      <c r="O33" s="11"/>
      <c r="P33" s="44"/>
      <c r="Q33" s="51">
        <v>89</v>
      </c>
      <c r="R33" s="51"/>
      <c r="S33" s="51"/>
      <c r="T33" s="24">
        <f t="shared" si="1"/>
        <v>-89</v>
      </c>
      <c r="U33" s="52"/>
      <c r="V33" s="52">
        <f t="shared" si="2"/>
        <v>-89</v>
      </c>
      <c r="W33" s="52"/>
      <c r="X33" s="52"/>
    </row>
    <row r="34" ht="18" spans="1:24">
      <c r="A34" s="16">
        <v>50</v>
      </c>
      <c r="B34" s="17" t="s">
        <v>22</v>
      </c>
      <c r="C34" s="17" t="s">
        <v>55</v>
      </c>
      <c r="D34" s="16" t="s">
        <v>144</v>
      </c>
      <c r="E34" s="20" t="s">
        <v>25</v>
      </c>
      <c r="F34" s="20" t="s">
        <v>35</v>
      </c>
      <c r="G34" s="16"/>
      <c r="H34" s="16"/>
      <c r="I34" s="16">
        <v>88</v>
      </c>
      <c r="J34" s="49">
        <v>91</v>
      </c>
      <c r="K34" s="49"/>
      <c r="L34" s="7">
        <f t="shared" si="0"/>
        <v>-3</v>
      </c>
      <c r="M34" s="29" t="s">
        <v>29</v>
      </c>
      <c r="N34" s="11" t="s">
        <v>35</v>
      </c>
      <c r="O34" s="11"/>
      <c r="P34" s="44"/>
      <c r="Q34" s="51">
        <v>93</v>
      </c>
      <c r="R34" s="51"/>
      <c r="S34" s="51"/>
      <c r="T34" s="24">
        <f t="shared" si="1"/>
        <v>-93</v>
      </c>
      <c r="U34" s="52"/>
      <c r="V34" s="52">
        <f t="shared" si="2"/>
        <v>-91</v>
      </c>
      <c r="W34" s="52"/>
      <c r="X34" s="52"/>
    </row>
    <row r="35" ht="18" spans="1:24">
      <c r="A35" s="16">
        <v>51</v>
      </c>
      <c r="B35" s="17" t="s">
        <v>22</v>
      </c>
      <c r="C35" s="17" t="s">
        <v>55</v>
      </c>
      <c r="D35" s="16" t="s">
        <v>145</v>
      </c>
      <c r="E35" s="20" t="s">
        <v>25</v>
      </c>
      <c r="F35" s="20" t="s">
        <v>119</v>
      </c>
      <c r="G35" s="16"/>
      <c r="H35" s="16"/>
      <c r="I35" s="16">
        <v>70</v>
      </c>
      <c r="J35" s="49">
        <v>55</v>
      </c>
      <c r="K35" s="49"/>
      <c r="L35" s="7">
        <f t="shared" si="0"/>
        <v>15</v>
      </c>
      <c r="M35" s="29" t="s">
        <v>89</v>
      </c>
      <c r="N35" s="11" t="s">
        <v>119</v>
      </c>
      <c r="O35" s="11"/>
      <c r="P35" s="44"/>
      <c r="Q35" s="51">
        <v>65</v>
      </c>
      <c r="R35" s="51"/>
      <c r="S35" s="51"/>
      <c r="T35" s="24">
        <f t="shared" ref="T35:T64" si="3">R35-Q35</f>
        <v>-65</v>
      </c>
      <c r="U35" s="52"/>
      <c r="V35" s="52">
        <f t="shared" ref="V35:V64" si="4">R35-J35</f>
        <v>-55</v>
      </c>
      <c r="W35" s="52"/>
      <c r="X35" s="52"/>
    </row>
    <row r="36" ht="18" spans="1:24">
      <c r="A36" s="16">
        <v>52</v>
      </c>
      <c r="B36" s="17" t="s">
        <v>22</v>
      </c>
      <c r="C36" s="17" t="s">
        <v>55</v>
      </c>
      <c r="D36" s="16" t="s">
        <v>146</v>
      </c>
      <c r="E36" s="20" t="s">
        <v>25</v>
      </c>
      <c r="F36" s="20" t="s">
        <v>147</v>
      </c>
      <c r="G36" s="16" t="s">
        <v>148</v>
      </c>
      <c r="H36" s="16" t="s">
        <v>149</v>
      </c>
      <c r="I36" s="16">
        <v>88</v>
      </c>
      <c r="J36" s="49">
        <v>81</v>
      </c>
      <c r="K36" s="49">
        <v>21</v>
      </c>
      <c r="L36" s="7">
        <f t="shared" si="0"/>
        <v>7</v>
      </c>
      <c r="M36" s="29" t="s">
        <v>36</v>
      </c>
      <c r="N36" s="11" t="s">
        <v>35</v>
      </c>
      <c r="O36" s="11"/>
      <c r="P36" s="44"/>
      <c r="Q36" s="51">
        <v>85</v>
      </c>
      <c r="R36" s="51"/>
      <c r="S36" s="51"/>
      <c r="T36" s="24">
        <f t="shared" si="3"/>
        <v>-85</v>
      </c>
      <c r="U36" s="52"/>
      <c r="V36" s="52">
        <f t="shared" si="4"/>
        <v>-81</v>
      </c>
      <c r="W36" s="52"/>
      <c r="X36" s="52"/>
    </row>
    <row r="37" ht="18" spans="1:24">
      <c r="A37" s="16">
        <v>53</v>
      </c>
      <c r="B37" s="17" t="s">
        <v>22</v>
      </c>
      <c r="C37" s="17" t="s">
        <v>55</v>
      </c>
      <c r="D37" s="16" t="s">
        <v>150</v>
      </c>
      <c r="E37" s="20" t="s">
        <v>25</v>
      </c>
      <c r="F37" s="20" t="s">
        <v>57</v>
      </c>
      <c r="G37" s="16" t="s">
        <v>27</v>
      </c>
      <c r="H37" s="16" t="s">
        <v>59</v>
      </c>
      <c r="I37" s="16">
        <v>90</v>
      </c>
      <c r="J37" s="49">
        <v>89</v>
      </c>
      <c r="K37" s="49">
        <v>16</v>
      </c>
      <c r="L37" s="7">
        <f t="shared" si="0"/>
        <v>1</v>
      </c>
      <c r="M37" s="29" t="s">
        <v>36</v>
      </c>
      <c r="N37" s="11" t="s">
        <v>35</v>
      </c>
      <c r="O37" s="11"/>
      <c r="P37" s="44"/>
      <c r="Q37" s="51">
        <v>92</v>
      </c>
      <c r="R37" s="51"/>
      <c r="S37" s="51"/>
      <c r="T37" s="24">
        <f t="shared" si="3"/>
        <v>-92</v>
      </c>
      <c r="U37" s="52"/>
      <c r="V37" s="52">
        <f t="shared" si="4"/>
        <v>-89</v>
      </c>
      <c r="W37" s="52"/>
      <c r="X37" s="52"/>
    </row>
    <row r="38" ht="18" spans="1:24">
      <c r="A38" s="16">
        <v>54</v>
      </c>
      <c r="B38" s="17" t="s">
        <v>22</v>
      </c>
      <c r="C38" s="17" t="s">
        <v>55</v>
      </c>
      <c r="D38" s="16" t="s">
        <v>151</v>
      </c>
      <c r="E38" s="20" t="s">
        <v>25</v>
      </c>
      <c r="F38" s="20" t="s">
        <v>152</v>
      </c>
      <c r="G38" s="16" t="s">
        <v>153</v>
      </c>
      <c r="H38" s="16" t="s">
        <v>154</v>
      </c>
      <c r="I38" s="16">
        <v>90</v>
      </c>
      <c r="J38" s="49">
        <v>97</v>
      </c>
      <c r="K38" s="49">
        <v>20</v>
      </c>
      <c r="L38" s="7">
        <f t="shared" si="0"/>
        <v>-7</v>
      </c>
      <c r="M38" s="29" t="s">
        <v>64</v>
      </c>
      <c r="N38" s="11" t="s">
        <v>35</v>
      </c>
      <c r="O38" s="11"/>
      <c r="P38" s="44"/>
      <c r="Q38" s="51">
        <v>97</v>
      </c>
      <c r="R38" s="51"/>
      <c r="S38" s="51"/>
      <c r="T38" s="24">
        <f t="shared" si="3"/>
        <v>-97</v>
      </c>
      <c r="U38" s="52"/>
      <c r="V38" s="52">
        <f t="shared" si="4"/>
        <v>-97</v>
      </c>
      <c r="W38" s="52"/>
      <c r="X38" s="52"/>
    </row>
    <row r="39" ht="18" spans="1:24">
      <c r="A39" s="16">
        <v>55</v>
      </c>
      <c r="B39" s="17" t="s">
        <v>22</v>
      </c>
      <c r="C39" s="17" t="s">
        <v>55</v>
      </c>
      <c r="D39" s="16" t="s">
        <v>155</v>
      </c>
      <c r="E39" s="20" t="s">
        <v>25</v>
      </c>
      <c r="F39" s="20" t="s">
        <v>35</v>
      </c>
      <c r="G39" s="16"/>
      <c r="H39" s="16"/>
      <c r="I39" s="16">
        <v>88</v>
      </c>
      <c r="J39" s="49">
        <v>79</v>
      </c>
      <c r="K39" s="49">
        <v>27</v>
      </c>
      <c r="L39" s="7">
        <f t="shared" si="0"/>
        <v>9</v>
      </c>
      <c r="M39" s="7" t="s">
        <v>36</v>
      </c>
      <c r="N39" s="11" t="s">
        <v>35</v>
      </c>
      <c r="O39" s="11"/>
      <c r="P39" s="44"/>
      <c r="Q39" s="51">
        <v>85</v>
      </c>
      <c r="R39" s="51"/>
      <c r="S39" s="51"/>
      <c r="T39" s="24">
        <f t="shared" si="3"/>
        <v>-85</v>
      </c>
      <c r="U39" s="52"/>
      <c r="V39" s="52">
        <f t="shared" si="4"/>
        <v>-79</v>
      </c>
      <c r="W39" s="52"/>
      <c r="X39" s="52"/>
    </row>
    <row r="40" ht="18" spans="1:24">
      <c r="A40" s="16">
        <v>56</v>
      </c>
      <c r="B40" s="17" t="s">
        <v>22</v>
      </c>
      <c r="C40" s="17" t="s">
        <v>55</v>
      </c>
      <c r="D40" s="16" t="s">
        <v>156</v>
      </c>
      <c r="E40" s="20" t="s">
        <v>25</v>
      </c>
      <c r="F40" s="20" t="s">
        <v>35</v>
      </c>
      <c r="G40" s="16"/>
      <c r="H40" s="16"/>
      <c r="I40" s="16">
        <v>88</v>
      </c>
      <c r="J40" s="49">
        <v>89</v>
      </c>
      <c r="K40" s="49">
        <v>5</v>
      </c>
      <c r="L40" s="7">
        <f t="shared" si="0"/>
        <v>-1</v>
      </c>
      <c r="M40" s="7" t="s">
        <v>64</v>
      </c>
      <c r="N40" s="11" t="s">
        <v>35</v>
      </c>
      <c r="O40" s="11"/>
      <c r="P40" s="44"/>
      <c r="Q40" s="51">
        <v>92</v>
      </c>
      <c r="R40" s="51"/>
      <c r="S40" s="51"/>
      <c r="T40" s="24">
        <f t="shared" si="3"/>
        <v>-92</v>
      </c>
      <c r="U40" s="52"/>
      <c r="V40" s="52">
        <f t="shared" si="4"/>
        <v>-89</v>
      </c>
      <c r="W40" s="52"/>
      <c r="X40" s="52"/>
    </row>
    <row r="41" ht="18" spans="1:24">
      <c r="A41" s="16">
        <v>57</v>
      </c>
      <c r="B41" s="17" t="s">
        <v>22</v>
      </c>
      <c r="C41" s="17" t="s">
        <v>55</v>
      </c>
      <c r="D41" s="16" t="s">
        <v>157</v>
      </c>
      <c r="E41" s="20" t="s">
        <v>25</v>
      </c>
      <c r="F41" s="20" t="s">
        <v>158</v>
      </c>
      <c r="G41" s="16" t="s">
        <v>159</v>
      </c>
      <c r="H41" s="16" t="s">
        <v>160</v>
      </c>
      <c r="I41" s="16">
        <v>94</v>
      </c>
      <c r="J41" s="49">
        <v>92</v>
      </c>
      <c r="K41" s="49">
        <v>15</v>
      </c>
      <c r="L41" s="7">
        <f t="shared" si="0"/>
        <v>2</v>
      </c>
      <c r="M41" s="7" t="s">
        <v>29</v>
      </c>
      <c r="N41" s="11" t="s">
        <v>35</v>
      </c>
      <c r="O41" s="11"/>
      <c r="P41" s="44"/>
      <c r="Q41" s="51">
        <v>93</v>
      </c>
      <c r="R41" s="51"/>
      <c r="S41" s="51"/>
      <c r="T41" s="24">
        <f t="shared" si="3"/>
        <v>-93</v>
      </c>
      <c r="U41" s="52"/>
      <c r="V41" s="52">
        <f t="shared" si="4"/>
        <v>-92</v>
      </c>
      <c r="W41" s="52"/>
      <c r="X41" s="52"/>
    </row>
    <row r="42" ht="18" spans="1:24">
      <c r="A42" s="16">
        <v>58</v>
      </c>
      <c r="B42" s="17" t="s">
        <v>22</v>
      </c>
      <c r="C42" s="17" t="s">
        <v>55</v>
      </c>
      <c r="D42" s="16" t="s">
        <v>161</v>
      </c>
      <c r="E42" s="16" t="s">
        <v>25</v>
      </c>
      <c r="F42" s="16" t="s">
        <v>70</v>
      </c>
      <c r="G42" s="16" t="s">
        <v>162</v>
      </c>
      <c r="H42" s="16" t="s">
        <v>163</v>
      </c>
      <c r="I42" s="16">
        <v>85</v>
      </c>
      <c r="J42" s="49">
        <v>89</v>
      </c>
      <c r="K42" s="49">
        <v>12</v>
      </c>
      <c r="L42" s="7">
        <f t="shared" si="0"/>
        <v>-4</v>
      </c>
      <c r="M42" s="7" t="s">
        <v>36</v>
      </c>
      <c r="N42" s="11" t="s">
        <v>35</v>
      </c>
      <c r="O42" s="11"/>
      <c r="P42" s="44"/>
      <c r="Q42" s="51">
        <v>90</v>
      </c>
      <c r="R42" s="51"/>
      <c r="S42" s="51"/>
      <c r="T42" s="24">
        <f t="shared" si="3"/>
        <v>-90</v>
      </c>
      <c r="U42" s="52"/>
      <c r="V42" s="52">
        <f t="shared" si="4"/>
        <v>-89</v>
      </c>
      <c r="W42" s="52"/>
      <c r="X42" s="52"/>
    </row>
    <row r="43" ht="18" spans="1:24">
      <c r="A43" s="16">
        <v>59</v>
      </c>
      <c r="B43" s="17" t="s">
        <v>22</v>
      </c>
      <c r="C43" s="17" t="s">
        <v>55</v>
      </c>
      <c r="D43" s="16" t="s">
        <v>164</v>
      </c>
      <c r="E43" s="16" t="s">
        <v>25</v>
      </c>
      <c r="F43" s="16" t="s">
        <v>103</v>
      </c>
      <c r="G43" s="16" t="s">
        <v>165</v>
      </c>
      <c r="H43" s="16" t="s">
        <v>166</v>
      </c>
      <c r="I43" s="16">
        <v>88</v>
      </c>
      <c r="J43" s="49">
        <v>91</v>
      </c>
      <c r="K43" s="49">
        <v>13</v>
      </c>
      <c r="L43" s="7">
        <f t="shared" si="0"/>
        <v>-3</v>
      </c>
      <c r="M43" s="7" t="s">
        <v>29</v>
      </c>
      <c r="N43" s="11" t="s">
        <v>35</v>
      </c>
      <c r="O43" s="11"/>
      <c r="P43" s="44"/>
      <c r="Q43" s="51">
        <v>93</v>
      </c>
      <c r="R43" s="51"/>
      <c r="S43" s="51"/>
      <c r="T43" s="24">
        <f t="shared" si="3"/>
        <v>-93</v>
      </c>
      <c r="U43" s="52"/>
      <c r="V43" s="52">
        <f t="shared" si="4"/>
        <v>-91</v>
      </c>
      <c r="W43" s="52"/>
      <c r="X43" s="52"/>
    </row>
    <row r="44" ht="18" spans="1:24">
      <c r="A44" s="16">
        <v>60</v>
      </c>
      <c r="B44" s="17" t="s">
        <v>22</v>
      </c>
      <c r="C44" s="17" t="s">
        <v>55</v>
      </c>
      <c r="D44" s="16" t="s">
        <v>167</v>
      </c>
      <c r="E44" s="16" t="s">
        <v>168</v>
      </c>
      <c r="F44" s="16" t="s">
        <v>169</v>
      </c>
      <c r="G44" s="16" t="s">
        <v>170</v>
      </c>
      <c r="H44" s="16" t="s">
        <v>171</v>
      </c>
      <c r="I44" s="16">
        <v>85</v>
      </c>
      <c r="J44" s="49">
        <v>80</v>
      </c>
      <c r="K44" s="49">
        <v>23</v>
      </c>
      <c r="L44" s="7">
        <f t="shared" si="0"/>
        <v>5</v>
      </c>
      <c r="M44" s="7" t="s">
        <v>36</v>
      </c>
      <c r="N44" s="11" t="s">
        <v>35</v>
      </c>
      <c r="O44" s="11"/>
      <c r="P44" s="44"/>
      <c r="Q44" s="51">
        <v>88</v>
      </c>
      <c r="R44" s="51"/>
      <c r="S44" s="51"/>
      <c r="T44" s="24">
        <f t="shared" si="3"/>
        <v>-88</v>
      </c>
      <c r="U44" s="52"/>
      <c r="V44" s="52">
        <f t="shared" si="4"/>
        <v>-80</v>
      </c>
      <c r="W44" s="52"/>
      <c r="X44" s="52"/>
    </row>
    <row r="45" ht="18" spans="1:24">
      <c r="A45" s="16">
        <v>71</v>
      </c>
      <c r="B45" s="17" t="s">
        <v>22</v>
      </c>
      <c r="C45" s="16" t="s">
        <v>172</v>
      </c>
      <c r="D45" s="16" t="s">
        <v>173</v>
      </c>
      <c r="E45" s="16" t="s">
        <v>174</v>
      </c>
      <c r="F45" s="16" t="s">
        <v>87</v>
      </c>
      <c r="G45" s="16" t="s">
        <v>175</v>
      </c>
      <c r="H45" s="16" t="s">
        <v>171</v>
      </c>
      <c r="I45" s="16">
        <v>95</v>
      </c>
      <c r="J45" s="49"/>
      <c r="K45" s="49"/>
      <c r="L45" s="7">
        <f t="shared" si="0"/>
        <v>95</v>
      </c>
      <c r="M45" s="7"/>
      <c r="N45" s="11"/>
      <c r="O45" s="11"/>
      <c r="P45" s="44"/>
      <c r="Q45" s="51"/>
      <c r="R45" s="51"/>
      <c r="S45" s="51"/>
      <c r="T45" s="24">
        <f t="shared" si="3"/>
        <v>0</v>
      </c>
      <c r="U45" s="52"/>
      <c r="V45" s="52">
        <f t="shared" si="4"/>
        <v>0</v>
      </c>
      <c r="W45" s="52"/>
      <c r="X45" s="52"/>
    </row>
    <row r="46" ht="18" spans="1:24">
      <c r="A46" s="16">
        <v>72</v>
      </c>
      <c r="B46" s="17" t="s">
        <v>22</v>
      </c>
      <c r="C46" s="16" t="s">
        <v>176</v>
      </c>
      <c r="D46" s="16" t="s">
        <v>177</v>
      </c>
      <c r="E46" s="16" t="s">
        <v>25</v>
      </c>
      <c r="F46" s="16" t="s">
        <v>178</v>
      </c>
      <c r="G46" s="16" t="s">
        <v>179</v>
      </c>
      <c r="H46" s="17" t="s">
        <v>180</v>
      </c>
      <c r="I46" s="17">
        <v>80</v>
      </c>
      <c r="J46" s="55">
        <v>79</v>
      </c>
      <c r="K46" s="49"/>
      <c r="L46" s="7">
        <v>1</v>
      </c>
      <c r="M46" s="29" t="s">
        <v>29</v>
      </c>
      <c r="N46" s="11">
        <v>70</v>
      </c>
      <c r="O46" s="11"/>
      <c r="P46" s="44"/>
      <c r="Q46" s="51">
        <v>85</v>
      </c>
      <c r="R46" s="51">
        <v>63</v>
      </c>
      <c r="S46" s="51"/>
      <c r="T46" s="24">
        <f t="shared" si="3"/>
        <v>-22</v>
      </c>
      <c r="U46" s="52"/>
      <c r="V46" s="52">
        <f t="shared" si="4"/>
        <v>-16</v>
      </c>
      <c r="W46" s="46" t="s">
        <v>181</v>
      </c>
      <c r="X46" s="46" t="s">
        <v>182</v>
      </c>
    </row>
    <row r="47" ht="18" spans="1:24">
      <c r="A47" s="16">
        <v>73</v>
      </c>
      <c r="B47" s="17" t="s">
        <v>22</v>
      </c>
      <c r="C47" s="16" t="s">
        <v>176</v>
      </c>
      <c r="D47" s="16" t="s">
        <v>183</v>
      </c>
      <c r="E47" s="16" t="s">
        <v>25</v>
      </c>
      <c r="F47" s="16" t="s">
        <v>184</v>
      </c>
      <c r="G47" s="16" t="s">
        <v>185</v>
      </c>
      <c r="H47" s="17" t="s">
        <v>186</v>
      </c>
      <c r="I47" s="16">
        <v>70</v>
      </c>
      <c r="J47" s="49">
        <v>66</v>
      </c>
      <c r="K47" s="49"/>
      <c r="L47" s="7">
        <f>I47-J47</f>
        <v>4</v>
      </c>
      <c r="M47" s="29" t="s">
        <v>29</v>
      </c>
      <c r="N47" s="50" t="s">
        <v>35</v>
      </c>
      <c r="O47" s="11"/>
      <c r="P47" s="44"/>
      <c r="Q47" s="51">
        <v>70</v>
      </c>
      <c r="R47" s="51">
        <v>78</v>
      </c>
      <c r="S47" s="51"/>
      <c r="T47" s="24">
        <f t="shared" si="3"/>
        <v>8</v>
      </c>
      <c r="U47" s="52"/>
      <c r="V47" s="52">
        <f t="shared" si="4"/>
        <v>12</v>
      </c>
      <c r="W47" s="46" t="s">
        <v>187</v>
      </c>
      <c r="X47" s="46" t="s">
        <v>188</v>
      </c>
    </row>
    <row r="48" ht="18" spans="1:24">
      <c r="A48" s="16">
        <v>74</v>
      </c>
      <c r="B48" s="17" t="s">
        <v>22</v>
      </c>
      <c r="C48" s="16" t="s">
        <v>176</v>
      </c>
      <c r="D48" s="17" t="s">
        <v>80</v>
      </c>
      <c r="E48" s="16" t="s">
        <v>25</v>
      </c>
      <c r="F48" s="20" t="s">
        <v>81</v>
      </c>
      <c r="G48" s="20" t="s">
        <v>82</v>
      </c>
      <c r="H48" s="20" t="s">
        <v>83</v>
      </c>
      <c r="I48" s="20">
        <v>85</v>
      </c>
      <c r="J48" s="49">
        <v>84</v>
      </c>
      <c r="K48" s="49"/>
      <c r="L48" s="7">
        <f>I48-J48</f>
        <v>1</v>
      </c>
      <c r="M48" s="29" t="s">
        <v>36</v>
      </c>
      <c r="N48" s="50" t="s">
        <v>35</v>
      </c>
      <c r="O48" s="11"/>
      <c r="P48" s="44"/>
      <c r="Q48" s="51">
        <v>88</v>
      </c>
      <c r="R48" s="51">
        <v>75</v>
      </c>
      <c r="S48" s="51"/>
      <c r="T48" s="24">
        <f t="shared" si="3"/>
        <v>-13</v>
      </c>
      <c r="U48" s="52"/>
      <c r="V48" s="52">
        <f t="shared" si="4"/>
        <v>-9</v>
      </c>
      <c r="W48" s="52"/>
      <c r="X48" s="52"/>
    </row>
    <row r="49" ht="18" spans="1:24">
      <c r="A49" s="16">
        <v>75</v>
      </c>
      <c r="B49" s="17" t="s">
        <v>22</v>
      </c>
      <c r="C49" s="16" t="s">
        <v>176</v>
      </c>
      <c r="D49" s="17" t="s">
        <v>189</v>
      </c>
      <c r="E49" s="17" t="s">
        <v>25</v>
      </c>
      <c r="F49" s="17" t="s">
        <v>119</v>
      </c>
      <c r="G49" s="17" t="s">
        <v>119</v>
      </c>
      <c r="H49" s="17" t="s">
        <v>190</v>
      </c>
      <c r="I49" s="16">
        <v>70</v>
      </c>
      <c r="J49" s="49">
        <v>72</v>
      </c>
      <c r="K49" s="49"/>
      <c r="L49" s="7">
        <v>2</v>
      </c>
      <c r="M49" s="29" t="s">
        <v>64</v>
      </c>
      <c r="N49" s="50" t="s">
        <v>35</v>
      </c>
      <c r="O49" s="11"/>
      <c r="P49" s="44"/>
      <c r="Q49" s="51">
        <v>75</v>
      </c>
      <c r="R49" s="56" t="s">
        <v>119</v>
      </c>
      <c r="S49" s="51"/>
      <c r="T49" s="24" t="e">
        <f t="shared" si="3"/>
        <v>#VALUE!</v>
      </c>
      <c r="U49" s="52"/>
      <c r="V49" s="52" t="e">
        <f t="shared" si="4"/>
        <v>#VALUE!</v>
      </c>
      <c r="W49" s="52"/>
      <c r="X49" s="52"/>
    </row>
    <row r="50" ht="18" spans="1:24">
      <c r="A50" s="16">
        <v>76</v>
      </c>
      <c r="B50" s="17" t="s">
        <v>22</v>
      </c>
      <c r="C50" s="16" t="s">
        <v>191</v>
      </c>
      <c r="D50" s="16" t="s">
        <v>192</v>
      </c>
      <c r="E50" s="16" t="s">
        <v>174</v>
      </c>
      <c r="F50" s="16">
        <v>83</v>
      </c>
      <c r="G50" s="16" t="s">
        <v>193</v>
      </c>
      <c r="H50" s="16" t="s">
        <v>194</v>
      </c>
      <c r="I50" s="16">
        <v>90</v>
      </c>
      <c r="J50" s="49">
        <v>92.5</v>
      </c>
      <c r="K50" s="49"/>
      <c r="L50" s="7">
        <f t="shared" ref="L50:L58" si="5">I50-J50</f>
        <v>-2.5</v>
      </c>
      <c r="M50" s="7" t="s">
        <v>29</v>
      </c>
      <c r="N50" s="11">
        <v>86</v>
      </c>
      <c r="O50" s="11" t="s">
        <v>30</v>
      </c>
      <c r="P50" s="44"/>
      <c r="Q50" s="51">
        <v>90</v>
      </c>
      <c r="R50" s="51">
        <v>90</v>
      </c>
      <c r="S50" s="51"/>
      <c r="T50" s="24">
        <f t="shared" si="3"/>
        <v>0</v>
      </c>
      <c r="U50" s="52"/>
      <c r="V50" s="52">
        <f t="shared" si="4"/>
        <v>-2.5</v>
      </c>
      <c r="W50" s="52" t="s">
        <v>195</v>
      </c>
      <c r="X50" s="52" t="s">
        <v>196</v>
      </c>
    </row>
    <row r="51" ht="18" spans="1:24">
      <c r="A51" s="16">
        <v>77</v>
      </c>
      <c r="B51" s="17" t="s">
        <v>22</v>
      </c>
      <c r="C51" s="16" t="s">
        <v>191</v>
      </c>
      <c r="D51" s="16" t="s">
        <v>197</v>
      </c>
      <c r="E51" s="16" t="s">
        <v>174</v>
      </c>
      <c r="F51" s="16">
        <v>86</v>
      </c>
      <c r="G51" s="16" t="s">
        <v>198</v>
      </c>
      <c r="H51" s="16" t="s">
        <v>199</v>
      </c>
      <c r="I51" s="16">
        <v>90</v>
      </c>
      <c r="J51" s="49">
        <v>83</v>
      </c>
      <c r="K51" s="49"/>
      <c r="L51" s="7">
        <f t="shared" si="5"/>
        <v>7</v>
      </c>
      <c r="M51" s="7" t="s">
        <v>200</v>
      </c>
      <c r="N51" s="11" t="s">
        <v>201</v>
      </c>
      <c r="O51" s="11"/>
      <c r="P51" s="44"/>
      <c r="Q51" s="51">
        <v>90</v>
      </c>
      <c r="R51" s="51"/>
      <c r="S51" s="51"/>
      <c r="T51" s="24">
        <f t="shared" si="3"/>
        <v>-90</v>
      </c>
      <c r="U51" s="52"/>
      <c r="V51" s="52">
        <f t="shared" si="4"/>
        <v>-83</v>
      </c>
      <c r="W51" s="52"/>
      <c r="X51" s="52"/>
    </row>
    <row r="52" ht="54" spans="1:24">
      <c r="A52" s="16">
        <v>78</v>
      </c>
      <c r="B52" s="17" t="s">
        <v>22</v>
      </c>
      <c r="C52" s="16" t="s">
        <v>191</v>
      </c>
      <c r="D52" s="16" t="s">
        <v>202</v>
      </c>
      <c r="E52" s="16" t="s">
        <v>174</v>
      </c>
      <c r="F52" s="16">
        <v>91</v>
      </c>
      <c r="G52" s="16" t="s">
        <v>203</v>
      </c>
      <c r="H52" s="16" t="s">
        <v>204</v>
      </c>
      <c r="I52" s="16">
        <v>90</v>
      </c>
      <c r="J52" s="49">
        <v>88</v>
      </c>
      <c r="K52" s="49"/>
      <c r="L52" s="7">
        <f t="shared" si="5"/>
        <v>2</v>
      </c>
      <c r="M52" s="7" t="s">
        <v>205</v>
      </c>
      <c r="N52" s="11" t="s">
        <v>206</v>
      </c>
      <c r="O52" s="11"/>
      <c r="P52" s="44"/>
      <c r="Q52" s="51">
        <v>90</v>
      </c>
      <c r="R52" s="51"/>
      <c r="S52" s="51"/>
      <c r="T52" s="24">
        <f t="shared" si="3"/>
        <v>-90</v>
      </c>
      <c r="U52" s="52"/>
      <c r="V52" s="52">
        <f t="shared" si="4"/>
        <v>-88</v>
      </c>
      <c r="W52" s="52"/>
      <c r="X52" s="52"/>
    </row>
    <row r="53" ht="18" spans="1:24">
      <c r="A53" s="16">
        <v>79</v>
      </c>
      <c r="B53" s="17" t="s">
        <v>22</v>
      </c>
      <c r="C53" s="16" t="s">
        <v>191</v>
      </c>
      <c r="D53" s="16" t="s">
        <v>207</v>
      </c>
      <c r="E53" s="16" t="s">
        <v>174</v>
      </c>
      <c r="F53" s="16">
        <v>82</v>
      </c>
      <c r="G53" s="16" t="s">
        <v>208</v>
      </c>
      <c r="H53" s="16" t="s">
        <v>209</v>
      </c>
      <c r="I53" s="16">
        <v>85</v>
      </c>
      <c r="J53" s="57" t="s">
        <v>210</v>
      </c>
      <c r="K53" s="57"/>
      <c r="L53" s="7" t="e">
        <f t="shared" si="5"/>
        <v>#VALUE!</v>
      </c>
      <c r="M53" s="7" t="s">
        <v>29</v>
      </c>
      <c r="N53" s="11" t="s">
        <v>206</v>
      </c>
      <c r="O53" s="11"/>
      <c r="P53" s="44"/>
      <c r="Q53" s="51">
        <v>85</v>
      </c>
      <c r="R53" s="51">
        <v>91</v>
      </c>
      <c r="S53" s="51"/>
      <c r="T53" s="24">
        <f t="shared" si="3"/>
        <v>6</v>
      </c>
      <c r="U53" s="52"/>
      <c r="V53" s="52" t="e">
        <f t="shared" si="4"/>
        <v>#VALUE!</v>
      </c>
      <c r="W53" s="52" t="s">
        <v>195</v>
      </c>
      <c r="X53" s="52" t="s">
        <v>196</v>
      </c>
    </row>
    <row r="54" ht="18" spans="1:24">
      <c r="A54" s="16">
        <v>80</v>
      </c>
      <c r="B54" s="17" t="s">
        <v>22</v>
      </c>
      <c r="C54" s="16" t="s">
        <v>191</v>
      </c>
      <c r="D54" s="16" t="s">
        <v>211</v>
      </c>
      <c r="E54" s="16" t="s">
        <v>174</v>
      </c>
      <c r="F54" s="16">
        <v>72</v>
      </c>
      <c r="G54" s="16" t="s">
        <v>212</v>
      </c>
      <c r="H54" s="16" t="s">
        <v>213</v>
      </c>
      <c r="I54" s="16">
        <v>70</v>
      </c>
      <c r="J54" s="57">
        <v>60</v>
      </c>
      <c r="K54" s="57"/>
      <c r="L54" s="7">
        <f t="shared" si="5"/>
        <v>10</v>
      </c>
      <c r="M54" s="7" t="s">
        <v>29</v>
      </c>
      <c r="N54" s="11" t="s">
        <v>201</v>
      </c>
      <c r="O54" s="11"/>
      <c r="P54" s="44"/>
      <c r="Q54" s="51">
        <v>70</v>
      </c>
      <c r="R54" s="51"/>
      <c r="S54" s="51"/>
      <c r="T54" s="24">
        <f t="shared" si="3"/>
        <v>-70</v>
      </c>
      <c r="U54" s="52"/>
      <c r="V54" s="52">
        <f t="shared" si="4"/>
        <v>-60</v>
      </c>
      <c r="W54" s="52"/>
      <c r="X54" s="52"/>
    </row>
    <row r="55" ht="18" spans="1:24">
      <c r="A55" s="16">
        <v>81</v>
      </c>
      <c r="B55" s="17" t="s">
        <v>22</v>
      </c>
      <c r="C55" s="16" t="s">
        <v>191</v>
      </c>
      <c r="D55" s="16" t="s">
        <v>214</v>
      </c>
      <c r="E55" s="16" t="s">
        <v>174</v>
      </c>
      <c r="F55" s="16" t="s">
        <v>215</v>
      </c>
      <c r="G55" s="16"/>
      <c r="H55" s="16"/>
      <c r="I55" s="16">
        <v>85</v>
      </c>
      <c r="J55" s="57">
        <v>87</v>
      </c>
      <c r="K55" s="57"/>
      <c r="L55" s="7">
        <f t="shared" si="5"/>
        <v>-2</v>
      </c>
      <c r="M55" s="7" t="s">
        <v>29</v>
      </c>
      <c r="N55" s="11" t="s">
        <v>216</v>
      </c>
      <c r="O55" s="11"/>
      <c r="P55" s="44"/>
      <c r="Q55" s="51">
        <v>85</v>
      </c>
      <c r="R55" s="51"/>
      <c r="S55" s="51"/>
      <c r="T55" s="24">
        <f t="shared" si="3"/>
        <v>-85</v>
      </c>
      <c r="U55" s="52"/>
      <c r="V55" s="52">
        <f t="shared" si="4"/>
        <v>-87</v>
      </c>
      <c r="W55" s="52"/>
      <c r="X55" s="52"/>
    </row>
    <row r="56" ht="18" spans="1:24">
      <c r="A56" s="16">
        <v>91</v>
      </c>
      <c r="B56" s="36" t="s">
        <v>22</v>
      </c>
      <c r="C56" s="36" t="s">
        <v>217</v>
      </c>
      <c r="D56" s="38" t="s">
        <v>218</v>
      </c>
      <c r="E56" s="38" t="s">
        <v>219</v>
      </c>
      <c r="F56" s="38" t="s">
        <v>220</v>
      </c>
      <c r="G56" s="38" t="s">
        <v>62</v>
      </c>
      <c r="H56" s="38" t="s">
        <v>221</v>
      </c>
      <c r="I56" s="36">
        <v>85</v>
      </c>
      <c r="J56" s="57">
        <v>83</v>
      </c>
      <c r="K56" s="57"/>
      <c r="L56" s="7">
        <v>-2</v>
      </c>
      <c r="M56" s="7"/>
      <c r="N56" s="11" t="s">
        <v>201</v>
      </c>
      <c r="O56" s="11"/>
      <c r="P56" s="44"/>
      <c r="Q56" s="51">
        <v>85</v>
      </c>
      <c r="R56" s="51"/>
      <c r="S56" s="51"/>
      <c r="T56" s="24">
        <f t="shared" si="3"/>
        <v>-85</v>
      </c>
      <c r="U56" s="52"/>
      <c r="V56" s="52">
        <f t="shared" si="4"/>
        <v>-83</v>
      </c>
      <c r="W56" s="52"/>
      <c r="X56" s="52"/>
    </row>
    <row r="57" ht="18" spans="1:24">
      <c r="A57" s="16">
        <v>92</v>
      </c>
      <c r="B57" s="36" t="s">
        <v>22</v>
      </c>
      <c r="C57" s="36" t="s">
        <v>217</v>
      </c>
      <c r="D57" s="38" t="s">
        <v>222</v>
      </c>
      <c r="E57" s="38" t="s">
        <v>219</v>
      </c>
      <c r="F57" s="38">
        <v>75</v>
      </c>
      <c r="G57" s="36" t="s">
        <v>135</v>
      </c>
      <c r="H57" s="36" t="s">
        <v>113</v>
      </c>
      <c r="I57" s="36">
        <v>85</v>
      </c>
      <c r="J57" s="57"/>
      <c r="K57" s="57"/>
      <c r="L57" s="7"/>
      <c r="M57" s="7"/>
      <c r="N57" s="11" t="s">
        <v>206</v>
      </c>
      <c r="O57" s="11"/>
      <c r="P57" s="44"/>
      <c r="Q57" s="51">
        <v>80</v>
      </c>
      <c r="R57" s="51"/>
      <c r="S57" s="51"/>
      <c r="T57" s="24">
        <f t="shared" si="3"/>
        <v>-80</v>
      </c>
      <c r="U57" s="52"/>
      <c r="V57" s="52">
        <f t="shared" si="4"/>
        <v>0</v>
      </c>
      <c r="W57" s="52"/>
      <c r="X57" s="52"/>
    </row>
    <row r="58" ht="18" spans="1:24">
      <c r="A58" s="16">
        <v>93</v>
      </c>
      <c r="B58" s="36" t="s">
        <v>22</v>
      </c>
      <c r="C58" s="36" t="s">
        <v>217</v>
      </c>
      <c r="D58" s="38" t="s">
        <v>223</v>
      </c>
      <c r="E58" s="38" t="s">
        <v>219</v>
      </c>
      <c r="F58" s="38">
        <v>73</v>
      </c>
      <c r="G58" s="36" t="s">
        <v>224</v>
      </c>
      <c r="H58" s="36" t="s">
        <v>113</v>
      </c>
      <c r="I58" s="36">
        <v>85</v>
      </c>
      <c r="J58" s="57"/>
      <c r="K58" s="57"/>
      <c r="L58" s="7"/>
      <c r="M58" s="7"/>
      <c r="N58" s="11" t="s">
        <v>206</v>
      </c>
      <c r="O58" s="11"/>
      <c r="P58" s="44"/>
      <c r="Q58" s="51">
        <v>80</v>
      </c>
      <c r="R58" s="51"/>
      <c r="S58" s="51"/>
      <c r="T58" s="24">
        <f t="shared" si="3"/>
        <v>-80</v>
      </c>
      <c r="U58" s="52"/>
      <c r="V58" s="52">
        <f t="shared" si="4"/>
        <v>0</v>
      </c>
      <c r="W58" s="52"/>
      <c r="X58" s="52"/>
    </row>
    <row r="59" ht="18" spans="1:24">
      <c r="A59" s="16">
        <v>94</v>
      </c>
      <c r="B59" s="36" t="s">
        <v>22</v>
      </c>
      <c r="C59" s="36" t="s">
        <v>217</v>
      </c>
      <c r="D59" s="38" t="s">
        <v>225</v>
      </c>
      <c r="E59" s="38" t="s">
        <v>219</v>
      </c>
      <c r="F59" s="38">
        <v>79</v>
      </c>
      <c r="G59" s="36" t="s">
        <v>135</v>
      </c>
      <c r="H59" s="36" t="s">
        <v>113</v>
      </c>
      <c r="I59" s="36">
        <v>90</v>
      </c>
      <c r="J59" s="57">
        <v>68</v>
      </c>
      <c r="K59" s="57"/>
      <c r="L59" s="7">
        <v>-22</v>
      </c>
      <c r="M59" s="7"/>
      <c r="N59" s="11" t="s">
        <v>201</v>
      </c>
      <c r="O59" s="11"/>
      <c r="P59" s="44"/>
      <c r="Q59" s="51">
        <v>80</v>
      </c>
      <c r="R59" s="51"/>
      <c r="S59" s="51"/>
      <c r="T59" s="24">
        <f t="shared" si="3"/>
        <v>-80</v>
      </c>
      <c r="U59" s="52"/>
      <c r="V59" s="52">
        <f t="shared" si="4"/>
        <v>-68</v>
      </c>
      <c r="W59" s="52"/>
      <c r="X59" s="52"/>
    </row>
    <row r="60" ht="18" spans="1:24">
      <c r="A60" s="16">
        <v>95</v>
      </c>
      <c r="B60" s="36" t="s">
        <v>22</v>
      </c>
      <c r="C60" s="36" t="s">
        <v>217</v>
      </c>
      <c r="D60" s="38" t="s">
        <v>226</v>
      </c>
      <c r="E60" s="38" t="s">
        <v>219</v>
      </c>
      <c r="F60" s="38">
        <v>75</v>
      </c>
      <c r="G60" s="36" t="s">
        <v>135</v>
      </c>
      <c r="H60" s="36" t="s">
        <v>113</v>
      </c>
      <c r="I60" s="36">
        <v>85</v>
      </c>
      <c r="J60" s="57"/>
      <c r="K60" s="57"/>
      <c r="L60" s="7"/>
      <c r="M60" s="7"/>
      <c r="N60" s="11" t="s">
        <v>216</v>
      </c>
      <c r="O60" s="11"/>
      <c r="P60" s="44"/>
      <c r="Q60" s="51">
        <v>80</v>
      </c>
      <c r="R60" s="51"/>
      <c r="S60" s="51"/>
      <c r="T60" s="24">
        <f t="shared" si="3"/>
        <v>-80</v>
      </c>
      <c r="U60" s="52"/>
      <c r="V60" s="52">
        <f t="shared" si="4"/>
        <v>0</v>
      </c>
      <c r="W60" s="52"/>
      <c r="X60" s="52"/>
    </row>
    <row r="61" ht="18" spans="1:24">
      <c r="A61" s="16">
        <v>96</v>
      </c>
      <c r="B61" s="36" t="s">
        <v>22</v>
      </c>
      <c r="C61" s="36" t="s">
        <v>217</v>
      </c>
      <c r="D61" s="38" t="s">
        <v>227</v>
      </c>
      <c r="E61" s="38" t="s">
        <v>219</v>
      </c>
      <c r="F61" s="38">
        <v>79</v>
      </c>
      <c r="G61" s="36" t="s">
        <v>224</v>
      </c>
      <c r="H61" s="36" t="s">
        <v>221</v>
      </c>
      <c r="I61" s="36">
        <v>90</v>
      </c>
      <c r="J61" s="57">
        <v>73</v>
      </c>
      <c r="K61" s="57"/>
      <c r="L61" s="7">
        <v>-17</v>
      </c>
      <c r="M61" s="7"/>
      <c r="N61" s="11" t="s">
        <v>206</v>
      </c>
      <c r="O61" s="11"/>
      <c r="P61" s="44"/>
      <c r="Q61" s="51">
        <v>80</v>
      </c>
      <c r="R61" s="51"/>
      <c r="S61" s="51"/>
      <c r="T61" s="24">
        <f t="shared" si="3"/>
        <v>-80</v>
      </c>
      <c r="U61" s="52"/>
      <c r="V61" s="52">
        <f t="shared" si="4"/>
        <v>-73</v>
      </c>
      <c r="W61" s="52"/>
      <c r="X61" s="52"/>
    </row>
    <row r="62" ht="18" spans="1:24">
      <c r="A62" s="16">
        <v>97</v>
      </c>
      <c r="B62" s="36" t="s">
        <v>22</v>
      </c>
      <c r="C62" s="36" t="s">
        <v>217</v>
      </c>
      <c r="D62" s="38" t="s">
        <v>228</v>
      </c>
      <c r="E62" s="38" t="s">
        <v>219</v>
      </c>
      <c r="F62" s="38">
        <v>83</v>
      </c>
      <c r="G62" s="36" t="s">
        <v>224</v>
      </c>
      <c r="H62" s="36" t="s">
        <v>221</v>
      </c>
      <c r="I62" s="36">
        <v>95</v>
      </c>
      <c r="J62" s="57"/>
      <c r="K62" s="57"/>
      <c r="L62" s="7"/>
      <c r="M62" s="7"/>
      <c r="N62" s="11" t="s">
        <v>206</v>
      </c>
      <c r="O62" s="11"/>
      <c r="P62" s="44"/>
      <c r="Q62" s="51">
        <v>90</v>
      </c>
      <c r="R62" s="51"/>
      <c r="S62" s="51"/>
      <c r="T62" s="24">
        <f t="shared" si="3"/>
        <v>-90</v>
      </c>
      <c r="U62" s="52"/>
      <c r="V62" s="52">
        <f t="shared" si="4"/>
        <v>0</v>
      </c>
      <c r="W62" s="52"/>
      <c r="X62" s="52"/>
    </row>
    <row r="63" ht="18" spans="1:24">
      <c r="A63" s="16">
        <v>98</v>
      </c>
      <c r="B63" s="36" t="s">
        <v>22</v>
      </c>
      <c r="C63" s="36" t="s">
        <v>217</v>
      </c>
      <c r="D63" s="36" t="s">
        <v>229</v>
      </c>
      <c r="E63" s="38" t="s">
        <v>219</v>
      </c>
      <c r="F63" s="38">
        <v>75</v>
      </c>
      <c r="G63" s="36" t="s">
        <v>135</v>
      </c>
      <c r="H63" s="36" t="s">
        <v>113</v>
      </c>
      <c r="I63" s="36">
        <v>80</v>
      </c>
      <c r="J63" s="57">
        <v>82</v>
      </c>
      <c r="K63" s="57"/>
      <c r="L63" s="7">
        <v>2</v>
      </c>
      <c r="M63" s="7"/>
      <c r="N63" s="11" t="s">
        <v>206</v>
      </c>
      <c r="O63" s="11"/>
      <c r="P63" s="44"/>
      <c r="Q63" s="51">
        <v>85</v>
      </c>
      <c r="R63" s="51"/>
      <c r="S63" s="51"/>
      <c r="T63" s="24">
        <f t="shared" si="3"/>
        <v>-85</v>
      </c>
      <c r="U63" s="52"/>
      <c r="V63" s="52">
        <f t="shared" si="4"/>
        <v>-82</v>
      </c>
      <c r="W63" s="52"/>
      <c r="X63" s="52"/>
    </row>
    <row r="64" ht="18" spans="1:24">
      <c r="A64" s="16">
        <v>99</v>
      </c>
      <c r="B64" s="36" t="s">
        <v>22</v>
      </c>
      <c r="C64" s="36" t="s">
        <v>217</v>
      </c>
      <c r="D64" s="36" t="s">
        <v>230</v>
      </c>
      <c r="E64" s="38" t="s">
        <v>219</v>
      </c>
      <c r="F64" s="38">
        <v>89</v>
      </c>
      <c r="G64" s="36" t="s">
        <v>231</v>
      </c>
      <c r="H64" s="36" t="s">
        <v>221</v>
      </c>
      <c r="I64" s="36">
        <v>90</v>
      </c>
      <c r="J64" s="57">
        <v>93</v>
      </c>
      <c r="K64" s="57"/>
      <c r="L64" s="7">
        <v>3</v>
      </c>
      <c r="M64" s="7"/>
      <c r="N64" s="11" t="s">
        <v>206</v>
      </c>
      <c r="O64" s="11"/>
      <c r="P64" s="44"/>
      <c r="Q64" s="51">
        <v>95</v>
      </c>
      <c r="R64" s="51"/>
      <c r="S64" s="51"/>
      <c r="T64" s="24">
        <f t="shared" si="3"/>
        <v>-95</v>
      </c>
      <c r="U64" s="52"/>
      <c r="V64" s="52">
        <f t="shared" si="4"/>
        <v>-93</v>
      </c>
      <c r="W64" s="52"/>
      <c r="X64" s="52"/>
    </row>
    <row r="65" ht="18" spans="1:16">
      <c r="A65" s="16">
        <v>142</v>
      </c>
      <c r="B65" s="16"/>
      <c r="C65" s="16"/>
      <c r="D65" s="16"/>
      <c r="E65" s="16"/>
      <c r="F65" s="16"/>
      <c r="G65" s="16"/>
      <c r="H65" s="16"/>
      <c r="I65" s="16"/>
      <c r="J65" s="58"/>
      <c r="K65" s="58"/>
      <c r="L65" s="7"/>
      <c r="M65" s="7"/>
      <c r="N65" s="7"/>
      <c r="O65" s="7"/>
      <c r="P65" s="7"/>
    </row>
    <row r="66" ht="18" spans="1:16">
      <c r="A66" s="16">
        <v>143</v>
      </c>
      <c r="B66" s="16"/>
      <c r="C66" s="16"/>
      <c r="D66" s="16"/>
      <c r="E66" s="16"/>
      <c r="F66" s="16"/>
      <c r="G66" s="16"/>
      <c r="H66" s="16"/>
      <c r="I66" s="16"/>
      <c r="J66" s="58"/>
      <c r="K66" s="58"/>
      <c r="L66" s="7"/>
      <c r="M66" s="7"/>
      <c r="N66" s="7"/>
      <c r="O66" s="7"/>
      <c r="P66" s="7"/>
    </row>
    <row r="67" ht="18" spans="1:16">
      <c r="A67" s="16">
        <v>144</v>
      </c>
      <c r="B67" s="16"/>
      <c r="C67" s="16"/>
      <c r="D67" s="16"/>
      <c r="E67" s="16"/>
      <c r="F67" s="16"/>
      <c r="G67" s="16"/>
      <c r="H67" s="16"/>
      <c r="I67" s="16"/>
      <c r="J67" s="58"/>
      <c r="K67" s="58"/>
      <c r="L67" s="7"/>
      <c r="M67" s="7"/>
      <c r="N67" s="7"/>
      <c r="O67" s="7"/>
      <c r="P67" s="7"/>
    </row>
    <row r="68" ht="18" spans="1:16">
      <c r="A68" s="16">
        <v>145</v>
      </c>
      <c r="B68" s="16"/>
      <c r="C68" s="16"/>
      <c r="D68" s="16"/>
      <c r="E68" s="16"/>
      <c r="F68" s="16"/>
      <c r="G68" s="16"/>
      <c r="H68" s="16"/>
      <c r="I68" s="16"/>
      <c r="J68" s="58"/>
      <c r="K68" s="58"/>
      <c r="L68" s="7"/>
      <c r="M68" s="7"/>
      <c r="N68" s="7"/>
      <c r="O68" s="7"/>
      <c r="P68" s="7"/>
    </row>
    <row r="69" ht="18" spans="1:16">
      <c r="A69" s="16">
        <v>146</v>
      </c>
      <c r="B69" s="16"/>
      <c r="C69" s="16"/>
      <c r="D69" s="16"/>
      <c r="E69" s="16"/>
      <c r="F69" s="16"/>
      <c r="G69" s="16"/>
      <c r="H69" s="16"/>
      <c r="I69" s="16"/>
      <c r="J69" s="58"/>
      <c r="K69" s="58"/>
      <c r="L69" s="7"/>
      <c r="M69" s="7"/>
      <c r="N69" s="7"/>
      <c r="O69" s="7"/>
      <c r="P69" s="7"/>
    </row>
    <row r="70" ht="18" spans="1:16">
      <c r="A70" s="16">
        <v>147</v>
      </c>
      <c r="B70" s="16"/>
      <c r="C70" s="16"/>
      <c r="D70" s="16"/>
      <c r="E70" s="16"/>
      <c r="F70" s="16"/>
      <c r="G70" s="16"/>
      <c r="H70" s="16"/>
      <c r="I70" s="16"/>
      <c r="J70" s="58"/>
      <c r="K70" s="58"/>
      <c r="L70" s="7"/>
      <c r="M70" s="7"/>
      <c r="N70" s="7"/>
      <c r="O70" s="7"/>
      <c r="P70" s="7"/>
    </row>
    <row r="71" ht="18" spans="1:16">
      <c r="A71" s="16">
        <v>148</v>
      </c>
      <c r="B71" s="16"/>
      <c r="C71" s="16"/>
      <c r="D71" s="16"/>
      <c r="E71" s="16"/>
      <c r="F71" s="16"/>
      <c r="G71" s="16"/>
      <c r="H71" s="16"/>
      <c r="I71" s="16"/>
      <c r="J71" s="58"/>
      <c r="K71" s="58"/>
      <c r="L71" s="7"/>
      <c r="M71" s="7"/>
      <c r="N71" s="7"/>
      <c r="O71" s="7"/>
      <c r="P71" s="7"/>
    </row>
    <row r="72" ht="18" spans="1:16">
      <c r="A72" s="16">
        <v>149</v>
      </c>
      <c r="B72" s="16"/>
      <c r="C72" s="16"/>
      <c r="D72" s="16"/>
      <c r="E72" s="16"/>
      <c r="F72" s="16"/>
      <c r="G72" s="16"/>
      <c r="H72" s="16"/>
      <c r="I72" s="16"/>
      <c r="J72" s="58"/>
      <c r="K72" s="58"/>
      <c r="L72" s="7"/>
      <c r="M72" s="7"/>
      <c r="N72" s="7"/>
      <c r="O72" s="7"/>
      <c r="P72" s="7"/>
    </row>
    <row r="73" ht="18" spans="1:16">
      <c r="A73" s="16">
        <v>150</v>
      </c>
      <c r="B73" s="16"/>
      <c r="C73" s="16"/>
      <c r="D73" s="16"/>
      <c r="E73" s="16"/>
      <c r="F73" s="16"/>
      <c r="G73" s="16"/>
      <c r="H73" s="16"/>
      <c r="I73" s="16"/>
      <c r="J73" s="58"/>
      <c r="K73" s="58"/>
      <c r="L73" s="7"/>
      <c r="M73" s="7"/>
      <c r="N73" s="7"/>
      <c r="O73" s="7"/>
      <c r="P73" s="7"/>
    </row>
    <row r="74" ht="18" spans="1:16">
      <c r="A74" s="16">
        <v>151</v>
      </c>
      <c r="B74" s="16"/>
      <c r="C74" s="16"/>
      <c r="D74" s="16"/>
      <c r="E74" s="16"/>
      <c r="F74" s="16"/>
      <c r="G74" s="16"/>
      <c r="H74" s="16"/>
      <c r="I74" s="16"/>
      <c r="J74" s="58"/>
      <c r="K74" s="58"/>
      <c r="L74" s="7"/>
      <c r="M74" s="7"/>
      <c r="N74" s="7"/>
      <c r="O74" s="7"/>
      <c r="P74" s="7"/>
    </row>
    <row r="75" ht="18" spans="1:16">
      <c r="A75" s="16">
        <v>152</v>
      </c>
      <c r="B75" s="16"/>
      <c r="C75" s="16"/>
      <c r="D75" s="16"/>
      <c r="E75" s="16"/>
      <c r="F75" s="16"/>
      <c r="G75" s="16"/>
      <c r="H75" s="16"/>
      <c r="I75" s="16"/>
      <c r="J75" s="58"/>
      <c r="K75" s="58"/>
      <c r="L75" s="7"/>
      <c r="M75" s="7"/>
      <c r="N75" s="7"/>
      <c r="O75" s="7"/>
      <c r="P75" s="7"/>
    </row>
    <row r="76" ht="18" spans="1:16">
      <c r="A76" s="16">
        <v>153</v>
      </c>
      <c r="B76" s="16"/>
      <c r="C76" s="16"/>
      <c r="D76" s="16"/>
      <c r="E76" s="16"/>
      <c r="F76" s="16"/>
      <c r="G76" s="16"/>
      <c r="H76" s="16"/>
      <c r="I76" s="16"/>
      <c r="J76" s="58"/>
      <c r="K76" s="58"/>
      <c r="L76" s="7"/>
      <c r="M76" s="7"/>
      <c r="N76" s="7"/>
      <c r="O76" s="7"/>
      <c r="P76" s="7"/>
    </row>
    <row r="77" ht="18" spans="1:16">
      <c r="A77" s="16">
        <v>154</v>
      </c>
      <c r="B77" s="16"/>
      <c r="C77" s="16"/>
      <c r="D77" s="16"/>
      <c r="E77" s="16"/>
      <c r="F77" s="16"/>
      <c r="G77" s="16"/>
      <c r="H77" s="16"/>
      <c r="I77" s="16"/>
      <c r="J77" s="58"/>
      <c r="K77" s="58"/>
      <c r="L77" s="7"/>
      <c r="M77" s="7"/>
      <c r="N77" s="7"/>
      <c r="O77" s="7"/>
      <c r="P77" s="7"/>
    </row>
    <row r="78" ht="18" spans="1:16">
      <c r="A78" s="16">
        <v>155</v>
      </c>
      <c r="B78" s="16"/>
      <c r="C78" s="16"/>
      <c r="D78" s="16"/>
      <c r="E78" s="16"/>
      <c r="F78" s="16"/>
      <c r="G78" s="16"/>
      <c r="H78" s="16"/>
      <c r="I78" s="16"/>
      <c r="J78" s="58"/>
      <c r="K78" s="58"/>
      <c r="L78" s="7"/>
      <c r="M78" s="7"/>
      <c r="N78" s="7"/>
      <c r="O78" s="7"/>
      <c r="P78" s="7"/>
    </row>
    <row r="79" ht="18" spans="1:16">
      <c r="A79" s="16">
        <v>156</v>
      </c>
      <c r="B79" s="16"/>
      <c r="C79" s="16"/>
      <c r="D79" s="16"/>
      <c r="E79" s="16"/>
      <c r="F79" s="16"/>
      <c r="G79" s="16"/>
      <c r="H79" s="16"/>
      <c r="I79" s="16"/>
      <c r="J79" s="58"/>
      <c r="K79" s="58"/>
      <c r="L79" s="7"/>
      <c r="M79" s="7"/>
      <c r="N79" s="7"/>
      <c r="O79" s="7"/>
      <c r="P79" s="7"/>
    </row>
    <row r="80" ht="18" spans="1:16">
      <c r="A80" s="16">
        <v>157</v>
      </c>
      <c r="B80" s="16"/>
      <c r="C80" s="16"/>
      <c r="D80" s="16"/>
      <c r="E80" s="16"/>
      <c r="F80" s="16"/>
      <c r="G80" s="16"/>
      <c r="H80" s="16"/>
      <c r="I80" s="16"/>
      <c r="J80" s="58"/>
      <c r="K80" s="58"/>
      <c r="L80" s="7"/>
      <c r="M80" s="7"/>
      <c r="N80" s="7"/>
      <c r="O80" s="7"/>
      <c r="P80" s="7"/>
    </row>
    <row r="81" ht="18" spans="1:16">
      <c r="A81" s="16">
        <v>158</v>
      </c>
      <c r="B81" s="16"/>
      <c r="C81" s="16"/>
      <c r="D81" s="16"/>
      <c r="E81" s="16"/>
      <c r="F81" s="16"/>
      <c r="G81" s="16"/>
      <c r="H81" s="16"/>
      <c r="I81" s="16"/>
      <c r="J81" s="58"/>
      <c r="K81" s="58"/>
      <c r="L81" s="7"/>
      <c r="M81" s="7"/>
      <c r="N81" s="7"/>
      <c r="O81" s="7"/>
      <c r="P81" s="7"/>
    </row>
    <row r="82" ht="18" spans="1:16">
      <c r="A82" s="16">
        <v>159</v>
      </c>
      <c r="B82" s="16"/>
      <c r="C82" s="16"/>
      <c r="D82" s="16"/>
      <c r="E82" s="16"/>
      <c r="F82" s="16"/>
      <c r="G82" s="16"/>
      <c r="H82" s="16"/>
      <c r="I82" s="16"/>
      <c r="J82" s="58"/>
      <c r="K82" s="58"/>
      <c r="L82" s="7"/>
      <c r="M82" s="7"/>
      <c r="N82" s="7"/>
      <c r="O82" s="7"/>
      <c r="P82" s="7"/>
    </row>
    <row r="83" ht="18" spans="1:16">
      <c r="A83" s="16">
        <v>160</v>
      </c>
      <c r="B83" s="16"/>
      <c r="C83" s="16"/>
      <c r="D83" s="16"/>
      <c r="E83" s="16"/>
      <c r="F83" s="16"/>
      <c r="G83" s="16"/>
      <c r="H83" s="16"/>
      <c r="I83" s="16"/>
      <c r="J83" s="59"/>
      <c r="K83" s="59"/>
      <c r="L83" s="7"/>
      <c r="M83" s="7"/>
      <c r="N83" s="7"/>
      <c r="O83" s="7"/>
      <c r="P83" s="7"/>
    </row>
    <row r="84" ht="18" spans="1:16">
      <c r="A84" s="16">
        <v>161</v>
      </c>
      <c r="B84" s="16"/>
      <c r="C84" s="16"/>
      <c r="D84" s="16"/>
      <c r="E84" s="16"/>
      <c r="F84" s="16"/>
      <c r="G84" s="16"/>
      <c r="H84" s="16"/>
      <c r="I84" s="16"/>
      <c r="J84" s="59"/>
      <c r="K84" s="59"/>
      <c r="L84" s="7"/>
      <c r="M84" s="7"/>
      <c r="N84" s="7"/>
      <c r="O84" s="7"/>
      <c r="P84" s="7"/>
    </row>
    <row r="85" ht="18" spans="1:16">
      <c r="A85" s="16">
        <v>162</v>
      </c>
      <c r="B85" s="16"/>
      <c r="C85" s="16"/>
      <c r="D85" s="16"/>
      <c r="E85" s="16"/>
      <c r="F85" s="16"/>
      <c r="G85" s="16"/>
      <c r="H85" s="16"/>
      <c r="I85" s="16"/>
      <c r="J85" s="59"/>
      <c r="K85" s="59"/>
      <c r="L85" s="7"/>
      <c r="M85" s="7"/>
      <c r="N85" s="7"/>
      <c r="O85" s="7"/>
      <c r="P85" s="7"/>
    </row>
    <row r="86" ht="18" spans="1:16">
      <c r="A86" s="16">
        <v>163</v>
      </c>
      <c r="B86" s="16"/>
      <c r="C86" s="16"/>
      <c r="D86" s="16"/>
      <c r="E86" s="16"/>
      <c r="F86" s="16"/>
      <c r="G86" s="16"/>
      <c r="H86" s="16"/>
      <c r="I86" s="16"/>
      <c r="J86" s="59"/>
      <c r="K86" s="59"/>
      <c r="L86" s="7"/>
      <c r="M86" s="7"/>
      <c r="N86" s="7"/>
      <c r="O86" s="7"/>
      <c r="P86" s="7"/>
    </row>
    <row r="87" ht="18" spans="1:16">
      <c r="A87" s="16">
        <v>164</v>
      </c>
      <c r="B87" s="16"/>
      <c r="C87" s="16"/>
      <c r="D87" s="16"/>
      <c r="E87" s="16"/>
      <c r="F87" s="16"/>
      <c r="G87" s="16"/>
      <c r="H87" s="16"/>
      <c r="I87" s="16"/>
      <c r="J87" s="59"/>
      <c r="K87" s="59"/>
      <c r="L87" s="7"/>
      <c r="M87" s="7"/>
      <c r="N87" s="7"/>
      <c r="O87" s="7"/>
      <c r="P87" s="7"/>
    </row>
    <row r="88" ht="18" spans="1:16">
      <c r="A88" s="16">
        <v>165</v>
      </c>
      <c r="B88" s="16"/>
      <c r="C88" s="16"/>
      <c r="D88" s="16"/>
      <c r="E88" s="16"/>
      <c r="F88" s="16"/>
      <c r="G88" s="16"/>
      <c r="H88" s="16"/>
      <c r="I88" s="16"/>
      <c r="J88" s="59"/>
      <c r="K88" s="59"/>
      <c r="L88" s="7"/>
      <c r="M88" s="7"/>
      <c r="N88" s="7"/>
      <c r="O88" s="7"/>
      <c r="P88" s="7"/>
    </row>
    <row r="89" ht="18" spans="1:16">
      <c r="A89" s="16">
        <v>166</v>
      </c>
      <c r="B89" s="16"/>
      <c r="C89" s="16"/>
      <c r="D89" s="16"/>
      <c r="E89" s="16"/>
      <c r="F89" s="16"/>
      <c r="G89" s="16"/>
      <c r="H89" s="16"/>
      <c r="I89" s="16"/>
      <c r="J89" s="59"/>
      <c r="K89" s="59"/>
      <c r="L89" s="7"/>
      <c r="M89" s="7"/>
      <c r="N89" s="7"/>
      <c r="O89" s="7"/>
      <c r="P89" s="7"/>
    </row>
    <row r="90" ht="18" spans="1:16">
      <c r="A90" s="16">
        <v>167</v>
      </c>
      <c r="B90" s="16"/>
      <c r="C90" s="16"/>
      <c r="D90" s="16"/>
      <c r="E90" s="16"/>
      <c r="F90" s="16"/>
      <c r="G90" s="16"/>
      <c r="H90" s="16"/>
      <c r="I90" s="16"/>
      <c r="J90" s="59"/>
      <c r="K90" s="59"/>
      <c r="L90" s="7"/>
      <c r="M90" s="7"/>
      <c r="N90" s="7"/>
      <c r="O90" s="7"/>
      <c r="P90" s="7"/>
    </row>
    <row r="91" ht="16.5" spans="1:16">
      <c r="A91" s="16">
        <v>168</v>
      </c>
      <c r="B91" s="16"/>
      <c r="C91" s="16"/>
      <c r="D91" s="16"/>
      <c r="E91" s="16"/>
      <c r="F91" s="16"/>
      <c r="G91" s="16"/>
      <c r="H91" s="16"/>
      <c r="I91" s="16"/>
      <c r="J91" s="59"/>
      <c r="K91" s="59"/>
    </row>
    <row r="92" ht="16.5" spans="1:16">
      <c r="A92" s="16">
        <v>169</v>
      </c>
      <c r="B92" s="16"/>
      <c r="C92" s="16"/>
      <c r="D92" s="16"/>
      <c r="E92" s="16"/>
      <c r="F92" s="16"/>
      <c r="G92" s="16"/>
      <c r="H92" s="16"/>
      <c r="I92" s="16"/>
      <c r="J92" s="59"/>
      <c r="K92" s="59"/>
    </row>
    <row r="93" ht="16.5" spans="1:16">
      <c r="A93" s="16">
        <v>170</v>
      </c>
      <c r="B93" s="16"/>
      <c r="C93" s="16"/>
      <c r="D93" s="16"/>
      <c r="E93" s="16"/>
      <c r="F93" s="16"/>
      <c r="G93" s="16"/>
      <c r="H93" s="16"/>
      <c r="I93" s="16"/>
      <c r="J93" s="59"/>
      <c r="K93" s="59"/>
    </row>
    <row r="94" ht="16.5" spans="1:16">
      <c r="A94" s="16">
        <v>171</v>
      </c>
      <c r="B94" s="16"/>
      <c r="C94" s="16"/>
      <c r="D94" s="16"/>
      <c r="E94" s="16"/>
      <c r="F94" s="16"/>
      <c r="G94" s="16"/>
      <c r="H94" s="16"/>
      <c r="I94" s="16"/>
      <c r="J94" s="60"/>
      <c r="K94" s="60"/>
    </row>
    <row r="95" ht="16.5" spans="1:16">
      <c r="A95" s="16">
        <v>172</v>
      </c>
      <c r="B95" s="16"/>
      <c r="C95" s="16"/>
      <c r="D95" s="16"/>
      <c r="E95" s="16"/>
      <c r="F95" s="16"/>
      <c r="G95" s="16"/>
      <c r="H95" s="16"/>
      <c r="I95" s="16"/>
      <c r="J95" s="60"/>
      <c r="K95" s="60"/>
    </row>
    <row r="96" ht="16.5" spans="1:16">
      <c r="A96" s="16">
        <v>173</v>
      </c>
      <c r="B96" s="16"/>
      <c r="C96" s="16"/>
      <c r="D96" s="16"/>
      <c r="E96" s="16"/>
      <c r="F96" s="16"/>
      <c r="G96" s="16"/>
      <c r="H96" s="16"/>
      <c r="I96" s="16"/>
      <c r="J96" s="60"/>
      <c r="K96" s="60"/>
    </row>
    <row r="97" ht="16.5" spans="1:11">
      <c r="A97" s="16">
        <v>174</v>
      </c>
      <c r="B97" s="16"/>
      <c r="C97" s="16"/>
      <c r="D97" s="16"/>
      <c r="E97" s="16"/>
      <c r="F97" s="16"/>
      <c r="G97" s="16"/>
      <c r="H97" s="16"/>
      <c r="I97" s="16"/>
      <c r="J97" s="60"/>
      <c r="K97" s="60"/>
    </row>
    <row r="98" ht="16.5" spans="1:11">
      <c r="A98" s="16">
        <v>175</v>
      </c>
      <c r="B98" s="16"/>
      <c r="C98" s="16"/>
      <c r="D98" s="16"/>
      <c r="E98" s="16"/>
      <c r="F98" s="16"/>
      <c r="G98" s="16"/>
      <c r="H98" s="16"/>
      <c r="I98" s="16"/>
      <c r="J98" s="60"/>
      <c r="K98" s="60"/>
    </row>
    <row r="99" ht="16.5" spans="1:11">
      <c r="A99" s="16">
        <v>176</v>
      </c>
      <c r="B99" s="16"/>
      <c r="C99" s="16"/>
      <c r="D99" s="16"/>
      <c r="E99" s="16"/>
      <c r="F99" s="16"/>
      <c r="G99" s="16"/>
      <c r="H99" s="16"/>
      <c r="I99" s="16"/>
      <c r="J99" s="60"/>
      <c r="K99" s="60"/>
    </row>
    <row r="100" ht="16.5" spans="1:11">
      <c r="A100" s="16">
        <v>177</v>
      </c>
      <c r="B100" s="16"/>
      <c r="C100" s="16"/>
      <c r="D100" s="16"/>
      <c r="E100" s="16"/>
      <c r="F100" s="16"/>
      <c r="G100" s="16"/>
      <c r="H100" s="16"/>
      <c r="I100" s="16"/>
      <c r="J100" s="60"/>
      <c r="K100" s="60"/>
    </row>
    <row r="101" ht="16.5" spans="1:11">
      <c r="A101" s="16">
        <v>178</v>
      </c>
      <c r="B101" s="16"/>
      <c r="C101" s="16"/>
      <c r="D101" s="16"/>
      <c r="E101" s="16"/>
      <c r="F101" s="16"/>
      <c r="G101" s="16"/>
      <c r="H101" s="16"/>
      <c r="I101" s="16"/>
      <c r="J101" s="60"/>
      <c r="K101" s="60"/>
    </row>
    <row r="102" ht="16.5" spans="1:11">
      <c r="A102" s="16">
        <v>179</v>
      </c>
      <c r="B102" s="16"/>
      <c r="C102" s="16"/>
      <c r="D102" s="16"/>
      <c r="E102" s="16"/>
      <c r="F102" s="16"/>
      <c r="G102" s="16"/>
      <c r="H102" s="16"/>
      <c r="I102" s="16"/>
      <c r="J102" s="60"/>
      <c r="K102" s="60"/>
    </row>
    <row r="103" ht="16.5" spans="1:11">
      <c r="A103" s="16">
        <v>180</v>
      </c>
      <c r="B103" s="16"/>
      <c r="C103" s="16"/>
      <c r="D103" s="16"/>
      <c r="E103" s="16"/>
      <c r="F103" s="16"/>
      <c r="G103" s="16"/>
      <c r="H103" s="16"/>
      <c r="I103" s="16"/>
      <c r="J103" s="60"/>
      <c r="K103" s="60"/>
    </row>
    <row r="104" ht="16.5" spans="1:11">
      <c r="A104" s="16">
        <v>181</v>
      </c>
      <c r="B104" s="16"/>
      <c r="C104" s="16"/>
      <c r="D104" s="16"/>
      <c r="E104" s="16"/>
      <c r="F104" s="16"/>
      <c r="G104" s="16"/>
      <c r="H104" s="16"/>
      <c r="I104" s="16"/>
      <c r="J104" s="60"/>
      <c r="K104" s="60"/>
    </row>
    <row r="105" ht="16.5" spans="1:11">
      <c r="A105" s="16">
        <v>182</v>
      </c>
      <c r="B105" s="16"/>
      <c r="C105" s="16"/>
      <c r="D105" s="16"/>
      <c r="E105" s="16"/>
      <c r="F105" s="16"/>
      <c r="G105" s="16"/>
      <c r="H105" s="16"/>
      <c r="I105" s="16"/>
      <c r="J105" s="60"/>
      <c r="K105" s="60"/>
    </row>
    <row r="106" ht="16.5" spans="1:11">
      <c r="A106" s="16">
        <v>183</v>
      </c>
      <c r="B106" s="16"/>
      <c r="C106" s="16"/>
      <c r="D106" s="16"/>
      <c r="E106" s="16"/>
      <c r="F106" s="61"/>
      <c r="G106" s="61"/>
      <c r="H106" s="61"/>
      <c r="I106" s="61"/>
      <c r="J106" s="60"/>
      <c r="K106" s="60"/>
    </row>
    <row r="107" ht="16.5" spans="1:11">
      <c r="A107" s="16">
        <v>184</v>
      </c>
      <c r="B107" s="16"/>
      <c r="C107" s="16"/>
      <c r="D107" s="16"/>
      <c r="E107" s="16"/>
      <c r="F107" s="61"/>
      <c r="G107" s="61"/>
      <c r="H107" s="61"/>
      <c r="I107" s="61"/>
      <c r="J107" s="60"/>
      <c r="K107" s="60"/>
    </row>
    <row r="108" ht="16.5" spans="1:11">
      <c r="A108" s="16">
        <v>185</v>
      </c>
      <c r="B108" s="16"/>
      <c r="C108" s="16"/>
      <c r="D108" s="16"/>
      <c r="E108" s="16"/>
      <c r="F108" s="61"/>
      <c r="G108" s="61"/>
      <c r="H108" s="61"/>
      <c r="I108" s="61"/>
      <c r="J108" s="60"/>
      <c r="K108" s="60"/>
    </row>
    <row r="109" ht="16.5" spans="1:11">
      <c r="A109" s="16">
        <v>186</v>
      </c>
      <c r="B109" s="16"/>
      <c r="C109" s="16"/>
      <c r="D109" s="16"/>
      <c r="E109" s="16"/>
      <c r="F109" s="61"/>
      <c r="G109" s="61"/>
      <c r="H109" s="61"/>
      <c r="I109" s="61"/>
      <c r="J109" s="60"/>
      <c r="K109" s="60"/>
    </row>
    <row r="110" ht="16.5" spans="1:11">
      <c r="A110" s="16">
        <v>187</v>
      </c>
      <c r="B110" s="16"/>
      <c r="C110" s="16"/>
      <c r="D110" s="16"/>
      <c r="E110" s="16"/>
      <c r="F110" s="61"/>
      <c r="G110" s="61"/>
      <c r="H110" s="61"/>
      <c r="I110" s="61"/>
      <c r="J110" s="59"/>
      <c r="K110" s="59"/>
    </row>
    <row r="111" ht="16.5" spans="1:11">
      <c r="A111" s="16">
        <v>188</v>
      </c>
      <c r="B111" s="16"/>
      <c r="C111" s="16"/>
      <c r="D111" s="16"/>
      <c r="E111" s="16"/>
      <c r="F111" s="61"/>
      <c r="G111" s="61"/>
      <c r="H111" s="61"/>
      <c r="I111" s="61"/>
      <c r="J111" s="59"/>
      <c r="K111" s="59"/>
    </row>
    <row r="112" ht="16.5" spans="1:11">
      <c r="A112" s="16">
        <v>189</v>
      </c>
      <c r="B112" s="16"/>
      <c r="C112" s="16"/>
      <c r="D112" s="16"/>
      <c r="E112" s="16"/>
      <c r="F112" s="61"/>
      <c r="G112" s="61"/>
      <c r="H112" s="61"/>
      <c r="I112" s="61"/>
      <c r="J112" s="59"/>
      <c r="K112" s="59"/>
    </row>
    <row r="113" ht="16.5" spans="1:11">
      <c r="A113" s="16">
        <v>190</v>
      </c>
      <c r="B113" s="16"/>
      <c r="C113" s="16"/>
      <c r="D113" s="16"/>
      <c r="E113" s="16"/>
      <c r="F113" s="61"/>
      <c r="G113" s="61"/>
      <c r="H113" s="61"/>
      <c r="I113" s="61"/>
      <c r="J113" s="59"/>
      <c r="K113" s="59"/>
    </row>
    <row r="114" ht="16.5" spans="1:11">
      <c r="A114" s="16">
        <v>191</v>
      </c>
      <c r="B114" s="16"/>
      <c r="C114" s="16"/>
      <c r="D114" s="16"/>
      <c r="E114" s="16"/>
      <c r="F114" s="61"/>
      <c r="G114" s="61"/>
      <c r="H114" s="61"/>
      <c r="I114" s="61"/>
      <c r="J114" s="59"/>
      <c r="K114" s="59"/>
    </row>
    <row r="115" ht="16.5" spans="1:11">
      <c r="A115" s="16">
        <v>192</v>
      </c>
      <c r="B115" s="17"/>
      <c r="C115" s="17"/>
      <c r="D115" s="17"/>
      <c r="E115" s="17"/>
      <c r="F115" s="17"/>
      <c r="G115" s="17"/>
      <c r="H115" s="17"/>
      <c r="I115" s="17"/>
      <c r="J115" s="59"/>
      <c r="K115" s="59"/>
    </row>
    <row r="116" ht="16.5" spans="1:11">
      <c r="A116" s="16">
        <v>193</v>
      </c>
      <c r="B116" s="17"/>
      <c r="C116" s="17"/>
      <c r="D116" s="17"/>
      <c r="E116" s="17"/>
      <c r="F116" s="17"/>
      <c r="G116" s="17"/>
      <c r="H116" s="17"/>
      <c r="I116" s="17"/>
      <c r="J116" s="59"/>
      <c r="K116" s="59"/>
    </row>
    <row r="117" ht="16.5" spans="1:11">
      <c r="A117" s="16">
        <v>194</v>
      </c>
      <c r="B117" s="17"/>
      <c r="C117" s="17"/>
      <c r="D117" s="17"/>
      <c r="E117" s="17"/>
      <c r="F117" s="17"/>
      <c r="G117" s="17"/>
      <c r="H117" s="17"/>
      <c r="I117" s="17"/>
      <c r="J117" s="59"/>
      <c r="K117" s="59"/>
    </row>
    <row r="118" ht="16.5" spans="1:11">
      <c r="A118" s="16">
        <v>195</v>
      </c>
      <c r="B118" s="17"/>
      <c r="C118" s="17"/>
      <c r="D118" s="17"/>
      <c r="E118" s="17"/>
      <c r="F118" s="17"/>
      <c r="G118" s="17"/>
      <c r="H118" s="17"/>
      <c r="I118" s="17"/>
      <c r="J118" s="59"/>
      <c r="K118" s="59"/>
    </row>
    <row r="119" ht="16.5" spans="1:11">
      <c r="A119" s="16">
        <v>196</v>
      </c>
      <c r="B119" s="17"/>
      <c r="C119" s="17"/>
      <c r="D119" s="17"/>
      <c r="E119" s="17"/>
      <c r="F119" s="17"/>
      <c r="G119" s="17"/>
      <c r="H119" s="17"/>
      <c r="I119" s="17"/>
      <c r="J119" s="59"/>
      <c r="K119" s="59"/>
    </row>
    <row r="120" ht="16.5" spans="1:11">
      <c r="A120" s="16">
        <v>197</v>
      </c>
      <c r="B120" s="17"/>
      <c r="C120" s="17"/>
      <c r="D120" s="17"/>
      <c r="E120" s="17"/>
      <c r="F120" s="17"/>
      <c r="G120" s="17"/>
      <c r="H120" s="17"/>
      <c r="I120" s="17"/>
      <c r="J120" s="59"/>
      <c r="K120" s="59"/>
    </row>
    <row r="121" ht="16.5" spans="1:11">
      <c r="A121" s="16">
        <v>198</v>
      </c>
      <c r="B121" s="17"/>
      <c r="C121" s="17"/>
      <c r="D121" s="17"/>
      <c r="E121" s="17"/>
      <c r="F121" s="17"/>
      <c r="G121" s="17"/>
      <c r="H121" s="17"/>
      <c r="I121" s="17"/>
      <c r="J121" s="59"/>
      <c r="K121" s="59"/>
    </row>
    <row r="122" ht="16.5" spans="1:11">
      <c r="A122" s="16">
        <v>199</v>
      </c>
      <c r="B122" s="17"/>
      <c r="C122" s="17"/>
      <c r="D122" s="17"/>
      <c r="E122" s="17"/>
      <c r="F122" s="17"/>
      <c r="G122" s="17"/>
      <c r="H122" s="17"/>
      <c r="I122" s="17"/>
      <c r="J122" s="59"/>
      <c r="K122" s="59"/>
    </row>
    <row r="123" ht="16.5" spans="1:11">
      <c r="A123" s="16">
        <v>200</v>
      </c>
      <c r="B123" s="17"/>
      <c r="C123" s="17"/>
      <c r="D123" s="17"/>
      <c r="E123" s="17"/>
      <c r="F123" s="17"/>
      <c r="G123" s="17"/>
      <c r="H123" s="17"/>
      <c r="I123" s="17"/>
      <c r="J123" s="59"/>
      <c r="K123" s="59"/>
    </row>
    <row r="124" ht="16.5" spans="1:11">
      <c r="A124" s="16">
        <v>201</v>
      </c>
      <c r="B124" s="17"/>
      <c r="C124" s="17"/>
      <c r="D124" s="17"/>
      <c r="E124" s="17"/>
      <c r="F124" s="17"/>
      <c r="G124" s="17"/>
      <c r="H124" s="17"/>
      <c r="I124" s="17"/>
      <c r="J124" s="59"/>
      <c r="K124" s="59"/>
    </row>
    <row r="125" ht="16.5" spans="1:11">
      <c r="A125" s="16">
        <v>202</v>
      </c>
      <c r="B125" s="17"/>
      <c r="C125" s="17"/>
      <c r="D125" s="17"/>
      <c r="E125" s="17"/>
      <c r="F125" s="17"/>
      <c r="G125" s="17"/>
      <c r="H125" s="17"/>
      <c r="I125" s="17"/>
      <c r="J125" s="59"/>
      <c r="K125" s="59"/>
    </row>
    <row r="126" ht="16.5" spans="1:11">
      <c r="A126" s="16">
        <v>203</v>
      </c>
      <c r="B126" s="17"/>
      <c r="C126" s="17"/>
      <c r="D126" s="17"/>
      <c r="E126" s="17"/>
      <c r="F126" s="17"/>
      <c r="G126" s="17"/>
      <c r="H126" s="17"/>
      <c r="I126" s="17"/>
      <c r="J126" s="59"/>
      <c r="K126" s="59"/>
    </row>
    <row r="127" ht="16.5" spans="1:11">
      <c r="A127" s="16">
        <v>204</v>
      </c>
      <c r="B127" s="17"/>
      <c r="C127" s="17"/>
      <c r="D127" s="17"/>
      <c r="E127" s="17"/>
      <c r="F127" s="17"/>
      <c r="G127" s="17"/>
      <c r="H127" s="17"/>
      <c r="I127" s="17"/>
      <c r="J127" s="59"/>
      <c r="K127" s="59"/>
    </row>
    <row r="128" ht="17.25" spans="1:11">
      <c r="A128" s="16">
        <v>205</v>
      </c>
      <c r="B128" s="17"/>
      <c r="C128" s="17"/>
      <c r="D128" s="17"/>
      <c r="E128" s="17"/>
      <c r="F128" s="17"/>
      <c r="G128" s="17"/>
      <c r="H128" s="17"/>
      <c r="I128" s="17"/>
      <c r="J128" s="62"/>
      <c r="K128" s="62"/>
    </row>
    <row r="129" ht="17.25" spans="1:11">
      <c r="A129" s="16">
        <v>206</v>
      </c>
      <c r="B129" s="17"/>
      <c r="C129" s="17"/>
      <c r="D129" s="17"/>
      <c r="E129" s="17"/>
      <c r="F129" s="17"/>
      <c r="G129" s="17"/>
      <c r="H129" s="17"/>
      <c r="I129" s="17"/>
      <c r="J129" s="62"/>
      <c r="K129" s="62"/>
    </row>
    <row r="130" ht="17.25" spans="1:11">
      <c r="A130" s="16">
        <v>207</v>
      </c>
      <c r="B130" s="17"/>
      <c r="C130" s="17"/>
      <c r="D130" s="17"/>
      <c r="E130" s="17"/>
      <c r="F130" s="17"/>
      <c r="G130" s="17"/>
      <c r="H130" s="17"/>
      <c r="I130" s="17"/>
      <c r="J130" s="62"/>
      <c r="K130" s="62"/>
    </row>
    <row r="131" ht="17.25" spans="1:11">
      <c r="A131" s="16">
        <v>208</v>
      </c>
      <c r="B131" s="17"/>
      <c r="C131" s="17"/>
      <c r="D131" s="17"/>
      <c r="E131" s="17"/>
      <c r="F131" s="17"/>
      <c r="G131" s="17"/>
      <c r="H131" s="17"/>
      <c r="I131" s="17"/>
      <c r="J131" s="62"/>
      <c r="K131" s="62"/>
    </row>
    <row r="132" ht="17.25" spans="1:11">
      <c r="A132" s="16">
        <v>209</v>
      </c>
      <c r="B132" s="17"/>
      <c r="C132" s="17"/>
      <c r="D132" s="17"/>
      <c r="E132" s="17"/>
      <c r="F132" s="17"/>
      <c r="G132" s="17"/>
      <c r="H132" s="17"/>
      <c r="I132" s="17"/>
      <c r="J132" s="62"/>
      <c r="K132" s="62"/>
    </row>
    <row r="133" ht="17.25" spans="1:11">
      <c r="A133" s="16">
        <v>210</v>
      </c>
      <c r="B133" s="17"/>
      <c r="C133" s="17"/>
      <c r="D133" s="17"/>
      <c r="E133" s="17"/>
      <c r="F133" s="17"/>
      <c r="G133" s="17"/>
      <c r="H133" s="17"/>
      <c r="I133" s="17"/>
      <c r="J133" s="62"/>
      <c r="K133" s="62"/>
    </row>
    <row r="134" ht="17.25" spans="1:11">
      <c r="A134" s="16">
        <v>211</v>
      </c>
      <c r="B134" s="17"/>
      <c r="C134" s="17"/>
      <c r="D134" s="17"/>
      <c r="E134" s="17"/>
      <c r="F134" s="17"/>
      <c r="G134" s="17"/>
      <c r="H134" s="17"/>
      <c r="I134" s="17"/>
      <c r="J134" s="62"/>
      <c r="K134" s="62"/>
    </row>
    <row r="135" ht="17.25" spans="1:11">
      <c r="A135" s="16">
        <v>212</v>
      </c>
      <c r="B135" s="17"/>
      <c r="C135" s="17"/>
      <c r="D135" s="17"/>
      <c r="E135" s="17"/>
      <c r="F135" s="17"/>
      <c r="G135" s="17"/>
      <c r="H135" s="17"/>
      <c r="I135" s="17"/>
      <c r="J135" s="63"/>
      <c r="K135" s="62"/>
    </row>
    <row r="136" ht="17.25" spans="1:11">
      <c r="A136" s="16">
        <v>213</v>
      </c>
      <c r="B136" s="17"/>
      <c r="C136" s="17"/>
      <c r="D136" s="17"/>
      <c r="E136" s="17"/>
      <c r="F136" s="17"/>
      <c r="G136" s="17"/>
      <c r="H136" s="17"/>
      <c r="I136" s="17"/>
      <c r="J136" s="62"/>
      <c r="K136" s="62"/>
    </row>
    <row r="137" ht="17.25" spans="1:11">
      <c r="A137" s="16">
        <v>214</v>
      </c>
      <c r="B137" s="17"/>
      <c r="C137" s="17"/>
      <c r="D137" s="17"/>
      <c r="E137" s="17"/>
      <c r="F137" s="17"/>
      <c r="G137" s="17"/>
      <c r="H137" s="17"/>
      <c r="I137" s="17"/>
      <c r="J137" s="62"/>
      <c r="K137" s="62"/>
    </row>
    <row r="138" ht="17.25" spans="1:11">
      <c r="A138" s="16">
        <v>215</v>
      </c>
      <c r="B138" s="17"/>
      <c r="C138" s="17"/>
      <c r="D138" s="17"/>
      <c r="E138" s="17"/>
      <c r="F138" s="17"/>
      <c r="G138" s="17"/>
      <c r="H138" s="17"/>
      <c r="I138" s="17"/>
      <c r="J138" s="62"/>
      <c r="K138" s="62"/>
    </row>
    <row r="139" ht="17.25" spans="1:11">
      <c r="A139" s="16">
        <v>216</v>
      </c>
      <c r="B139" s="17"/>
      <c r="C139" s="17"/>
      <c r="D139" s="17"/>
      <c r="E139" s="17"/>
      <c r="F139" s="17"/>
      <c r="G139" s="17"/>
      <c r="H139" s="17"/>
      <c r="I139" s="17"/>
      <c r="J139" s="62"/>
      <c r="K139" s="62"/>
    </row>
    <row r="140" ht="17.25" spans="1:11">
      <c r="A140" s="16">
        <v>217</v>
      </c>
      <c r="B140" s="17"/>
      <c r="C140" s="17"/>
      <c r="D140" s="17"/>
      <c r="E140" s="17"/>
      <c r="F140" s="17"/>
      <c r="G140" s="17"/>
      <c r="H140" s="17"/>
      <c r="I140" s="17"/>
      <c r="J140" s="62"/>
      <c r="K140" s="62"/>
    </row>
    <row r="141" ht="17.25" spans="1:11">
      <c r="A141" s="16">
        <v>218</v>
      </c>
      <c r="B141" s="17"/>
      <c r="C141" s="17"/>
      <c r="D141" s="17"/>
      <c r="E141" s="17"/>
      <c r="F141" s="17"/>
      <c r="G141" s="17"/>
      <c r="H141" s="17"/>
      <c r="I141" s="17"/>
      <c r="J141" s="62"/>
      <c r="K141" s="62"/>
    </row>
    <row r="142" ht="17.25" spans="1:11">
      <c r="A142" s="16">
        <v>219</v>
      </c>
      <c r="B142" s="17"/>
      <c r="C142" s="17"/>
      <c r="D142" s="17"/>
      <c r="E142" s="17"/>
      <c r="F142" s="17"/>
      <c r="G142" s="17"/>
      <c r="H142" s="17"/>
      <c r="I142" s="17"/>
      <c r="J142" s="62"/>
      <c r="K142" s="62"/>
    </row>
    <row r="143" ht="17.25" spans="1:11">
      <c r="A143" s="16">
        <v>220</v>
      </c>
      <c r="B143" s="17"/>
      <c r="C143" s="17"/>
      <c r="D143" s="17"/>
      <c r="E143" s="17"/>
      <c r="F143" s="17"/>
      <c r="G143" s="17"/>
      <c r="H143" s="17"/>
      <c r="I143" s="17"/>
      <c r="J143" s="62"/>
      <c r="K143" s="62"/>
    </row>
    <row r="144" ht="17.25" spans="1:11">
      <c r="A144" s="16">
        <v>221</v>
      </c>
      <c r="B144" s="17"/>
      <c r="C144" s="17"/>
      <c r="D144" s="17"/>
      <c r="E144" s="17"/>
      <c r="F144" s="17"/>
      <c r="G144" s="17"/>
      <c r="H144" s="17"/>
      <c r="I144" s="17"/>
      <c r="J144" s="62"/>
      <c r="K144" s="62"/>
    </row>
    <row r="145" ht="17.25" spans="1:11">
      <c r="A145" s="16">
        <v>222</v>
      </c>
      <c r="B145" s="17"/>
      <c r="C145" s="17"/>
      <c r="D145" s="17"/>
      <c r="E145" s="17"/>
      <c r="F145" s="17"/>
      <c r="G145" s="17"/>
      <c r="H145" s="17"/>
      <c r="I145" s="17"/>
      <c r="J145" s="62"/>
      <c r="K145" s="62"/>
    </row>
    <row r="146" ht="17.25" spans="1:11">
      <c r="A146" s="16">
        <v>223</v>
      </c>
      <c r="B146" s="16"/>
      <c r="C146" s="16"/>
      <c r="D146" s="16"/>
      <c r="E146" s="16"/>
      <c r="F146" s="16"/>
      <c r="G146" s="16"/>
      <c r="H146" s="16"/>
      <c r="I146" s="16"/>
      <c r="J146" s="62"/>
      <c r="K146" s="62"/>
    </row>
    <row r="147" ht="17.25" spans="1:11">
      <c r="A147" s="16">
        <v>224</v>
      </c>
      <c r="B147" s="16"/>
      <c r="C147" s="16"/>
      <c r="D147" s="16"/>
      <c r="E147" s="16"/>
      <c r="F147" s="16"/>
      <c r="G147" s="16"/>
      <c r="H147" s="16"/>
      <c r="I147" s="16"/>
      <c r="J147" s="62"/>
      <c r="K147" s="62"/>
    </row>
    <row r="148" ht="17.25" spans="1:11">
      <c r="A148" s="16">
        <v>225</v>
      </c>
      <c r="B148" s="16"/>
      <c r="C148" s="16"/>
      <c r="D148" s="16"/>
      <c r="E148" s="16"/>
      <c r="F148" s="16"/>
      <c r="G148" s="16"/>
      <c r="H148" s="16"/>
      <c r="I148" s="16"/>
      <c r="J148" s="62"/>
      <c r="K148" s="62"/>
    </row>
    <row r="149" ht="17.25" spans="1:11">
      <c r="A149" s="16">
        <v>226</v>
      </c>
      <c r="B149" s="16"/>
      <c r="C149" s="16"/>
      <c r="D149" s="16"/>
      <c r="E149" s="16"/>
      <c r="F149" s="16"/>
      <c r="G149" s="16"/>
      <c r="H149" s="16"/>
      <c r="I149" s="16"/>
      <c r="J149" s="62"/>
      <c r="K149" s="62"/>
    </row>
    <row r="150" ht="17.25" spans="1:11">
      <c r="A150" s="16">
        <v>227</v>
      </c>
      <c r="B150" s="16"/>
      <c r="C150" s="16"/>
      <c r="D150" s="16"/>
      <c r="E150" s="16"/>
      <c r="F150" s="16"/>
      <c r="G150" s="16"/>
      <c r="H150" s="16"/>
      <c r="I150" s="16"/>
      <c r="J150" s="62"/>
      <c r="K150" s="62"/>
    </row>
    <row r="151" ht="17.25" spans="1:11">
      <c r="A151" s="16">
        <v>228</v>
      </c>
      <c r="B151" s="16"/>
      <c r="C151" s="16"/>
      <c r="D151" s="16"/>
      <c r="E151" s="16"/>
      <c r="F151" s="16"/>
      <c r="G151" s="16"/>
      <c r="H151" s="16"/>
      <c r="I151" s="16"/>
      <c r="J151" s="62"/>
      <c r="K151" s="62"/>
    </row>
    <row r="152" ht="17.25" spans="1:11">
      <c r="A152" s="16">
        <v>229</v>
      </c>
      <c r="B152" s="16"/>
      <c r="C152" s="16"/>
      <c r="D152" s="16"/>
      <c r="E152" s="16"/>
      <c r="F152" s="16"/>
      <c r="G152" s="16"/>
      <c r="H152" s="16"/>
      <c r="I152" s="16"/>
      <c r="J152" s="62"/>
      <c r="K152" s="62"/>
    </row>
    <row r="153" ht="17.25" spans="1:11">
      <c r="A153" s="16">
        <v>230</v>
      </c>
      <c r="B153" s="16"/>
      <c r="C153" s="16"/>
      <c r="D153" s="16"/>
      <c r="E153" s="16"/>
      <c r="F153" s="16"/>
      <c r="G153" s="16"/>
      <c r="H153" s="16"/>
      <c r="I153" s="16"/>
      <c r="J153" s="62"/>
      <c r="K153" s="62"/>
    </row>
    <row r="154" ht="17.25" spans="1:11">
      <c r="A154" s="16">
        <v>231</v>
      </c>
      <c r="B154" s="16"/>
      <c r="C154" s="16"/>
      <c r="D154" s="16"/>
      <c r="E154" s="16"/>
      <c r="F154" s="16"/>
      <c r="G154" s="16"/>
      <c r="H154" s="16"/>
      <c r="I154" s="16"/>
      <c r="J154" s="62"/>
      <c r="K154" s="62"/>
    </row>
    <row r="155" ht="17.25" spans="1:11">
      <c r="A155" s="16">
        <v>232</v>
      </c>
      <c r="B155" s="16"/>
      <c r="C155" s="16"/>
      <c r="D155" s="16"/>
      <c r="E155" s="16"/>
      <c r="F155" s="16"/>
      <c r="G155" s="16"/>
      <c r="H155" s="16"/>
      <c r="I155" s="16"/>
      <c r="J155" s="62"/>
      <c r="K155" s="62"/>
    </row>
    <row r="156" ht="17.25" spans="1:11">
      <c r="A156" s="16">
        <v>233</v>
      </c>
      <c r="B156" s="16"/>
      <c r="C156" s="16"/>
      <c r="D156" s="16"/>
      <c r="E156" s="16"/>
      <c r="F156" s="16"/>
      <c r="G156" s="16"/>
      <c r="H156" s="16"/>
      <c r="I156" s="16"/>
      <c r="J156" s="62"/>
      <c r="K156" s="62"/>
    </row>
    <row r="157" ht="17.25" spans="1:11">
      <c r="A157" s="16">
        <v>234</v>
      </c>
      <c r="B157" s="16"/>
      <c r="C157" s="16"/>
      <c r="D157" s="16"/>
      <c r="E157" s="16"/>
      <c r="F157" s="16"/>
      <c r="G157" s="16"/>
      <c r="H157" s="16"/>
      <c r="I157" s="16"/>
      <c r="J157" s="62"/>
      <c r="K157" s="62"/>
    </row>
    <row r="158" ht="17.25" spans="1:11">
      <c r="A158" s="16">
        <v>235</v>
      </c>
      <c r="B158" s="16"/>
      <c r="C158" s="16"/>
      <c r="D158" s="16"/>
      <c r="E158" s="16"/>
      <c r="F158" s="16"/>
      <c r="G158" s="16"/>
      <c r="H158" s="16"/>
      <c r="I158" s="16"/>
      <c r="J158" s="62"/>
      <c r="K158" s="62"/>
    </row>
    <row r="159" ht="17.25" spans="1:11">
      <c r="A159" s="16">
        <v>236</v>
      </c>
      <c r="B159" s="16"/>
      <c r="C159" s="16"/>
      <c r="D159" s="16"/>
      <c r="E159" s="16"/>
      <c r="F159" s="16"/>
      <c r="G159" s="16"/>
      <c r="H159" s="16"/>
      <c r="I159" s="16"/>
      <c r="J159" s="64"/>
      <c r="K159" s="64"/>
    </row>
    <row r="160" ht="17.25" spans="1:11">
      <c r="A160" s="16">
        <v>237</v>
      </c>
      <c r="B160" s="16"/>
      <c r="C160" s="16"/>
      <c r="D160" s="16"/>
      <c r="E160" s="16"/>
      <c r="F160" s="16"/>
      <c r="G160" s="16"/>
      <c r="H160" s="16"/>
      <c r="I160" s="16"/>
      <c r="J160" s="64"/>
      <c r="K160" s="64"/>
    </row>
    <row r="161" ht="17.25" spans="1:11">
      <c r="A161" s="16">
        <v>238</v>
      </c>
      <c r="B161" s="16"/>
      <c r="C161" s="16"/>
      <c r="D161" s="16"/>
      <c r="E161" s="16"/>
      <c r="F161" s="16"/>
      <c r="G161" s="16"/>
      <c r="H161" s="16"/>
      <c r="I161" s="16"/>
      <c r="J161" s="64"/>
      <c r="K161" s="64"/>
    </row>
    <row r="162" ht="17.25" spans="1:11">
      <c r="A162" s="16">
        <v>239</v>
      </c>
      <c r="B162" s="16"/>
      <c r="C162" s="16"/>
      <c r="D162" s="16"/>
      <c r="E162" s="16"/>
      <c r="F162" s="16"/>
      <c r="G162" s="16"/>
      <c r="H162" s="16"/>
      <c r="I162" s="16"/>
      <c r="J162" s="64"/>
      <c r="K162" s="64"/>
    </row>
    <row r="163" ht="17.25" spans="1:11">
      <c r="A163" s="16">
        <v>240</v>
      </c>
      <c r="B163" s="16"/>
      <c r="C163" s="16"/>
      <c r="D163" s="16"/>
      <c r="E163" s="16"/>
      <c r="F163" s="16"/>
      <c r="G163" s="16"/>
      <c r="H163" s="16"/>
      <c r="I163" s="16"/>
      <c r="J163" s="64"/>
      <c r="K163" s="64"/>
    </row>
    <row r="164" ht="17.25" spans="1:11">
      <c r="A164" s="16">
        <v>241</v>
      </c>
      <c r="B164" s="16"/>
      <c r="C164" s="16"/>
      <c r="D164" s="16"/>
      <c r="E164" s="16"/>
      <c r="F164" s="16"/>
      <c r="G164" s="16"/>
      <c r="H164" s="16"/>
      <c r="I164" s="16"/>
      <c r="J164" s="64"/>
      <c r="K164" s="64"/>
    </row>
    <row r="165" ht="16.5" spans="1:11">
      <c r="A165" s="16">
        <v>242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ht="16.5" spans="1:11">
      <c r="A166" s="16">
        <v>243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ht="16.5" spans="1:11">
      <c r="A167" s="16">
        <v>244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ht="16.5" spans="1:11">
      <c r="A168" s="16">
        <v>245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ht="16.5" spans="1:11">
      <c r="A169" s="16">
        <v>246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ht="16.5" spans="1:11">
      <c r="A170" s="16">
        <v>247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ht="16.5" spans="1:11">
      <c r="A171" s="16">
        <v>248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ht="16.5" spans="1:11">
      <c r="A172" s="16">
        <v>249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ht="16.5" spans="1:11">
      <c r="A173" s="16">
        <v>250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ht="16.5" spans="1:11">
      <c r="A174" s="16">
        <v>251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ht="16.5" spans="1:11">
      <c r="A175" s="16">
        <v>252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ht="16.5" spans="1:11">
      <c r="A176" s="16">
        <v>253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ht="16.5" spans="1:11">
      <c r="A177" s="16">
        <v>254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ht="16.5" spans="1:11">
      <c r="A178" s="16">
        <v>255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ht="16.5" spans="1:11">
      <c r="A179" s="16">
        <v>256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ht="16.5" spans="1:11">
      <c r="A180" s="16">
        <v>257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ht="16.5" spans="1:11">
      <c r="A181" s="16">
        <v>258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ht="16.5" spans="1:11">
      <c r="A182" s="16">
        <v>259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ht="16.5" spans="1:11">
      <c r="A183" s="16">
        <v>260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ht="16.5" spans="1:11">
      <c r="A184" s="16">
        <v>261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ht="16.5" spans="1:11">
      <c r="A185" s="16">
        <v>262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ht="16.5" spans="1:11">
      <c r="A186" s="16">
        <v>263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ht="16.5" spans="1:11">
      <c r="A187" s="16">
        <v>264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ht="16.5" spans="1:11">
      <c r="A188" s="16">
        <v>265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ht="16.5" spans="1:11">
      <c r="A189" s="16">
        <v>266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ht="16.5" spans="1:11">
      <c r="A190" s="16">
        <v>267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ht="16.5" spans="1:11">
      <c r="A191" s="16">
        <v>268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ht="16.5" spans="1:11">
      <c r="A192" s="16">
        <v>269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ht="16.5" spans="1:11">
      <c r="A193" s="16">
        <v>270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ht="16.5" spans="1:11">
      <c r="A194" s="16">
        <v>271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ht="16.5" spans="1:11">
      <c r="A195" s="16">
        <v>272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ht="16.5" spans="1:11">
      <c r="A196" s="16">
        <v>273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ht="16.5" spans="1:11">
      <c r="A197" s="16">
        <v>274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ht="16.5" spans="1:11">
      <c r="A198" s="16">
        <v>275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ht="16.5" spans="1:11">
      <c r="A199" s="16">
        <v>276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ht="16.5" spans="1:11">
      <c r="A200" s="16">
        <v>277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ht="16.5" spans="1:11">
      <c r="A201" s="16">
        <v>278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ht="16.5" spans="1:11">
      <c r="A202" s="16">
        <v>279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ht="16.5" spans="1:11">
      <c r="A203" s="16">
        <v>280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ht="16.5" spans="1:11">
      <c r="A204" s="16">
        <v>281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ht="16.5" spans="1:11">
      <c r="A205" s="16">
        <v>282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ht="16.5" spans="1:11">
      <c r="A206" s="16">
        <v>283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ht="16.5" spans="1:11">
      <c r="A207" s="16">
        <v>284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ht="16.5" spans="1:11">
      <c r="A208" s="16">
        <v>285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ht="16.5" spans="1:11">
      <c r="A209" s="16">
        <v>286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ht="16.5" spans="1:11">
      <c r="A210" s="16">
        <v>287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ht="16.5" spans="1:11">
      <c r="A211" s="16">
        <v>288</v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ht="16.5" spans="1:11">
      <c r="A212" s="16">
        <v>289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ht="16.5" spans="1:11">
      <c r="A213" s="16">
        <v>290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ht="16.5" spans="1:11">
      <c r="A214" s="16">
        <v>291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ht="16.5" spans="1:11">
      <c r="A215" s="16">
        <v>292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ht="16.5" spans="1:11">
      <c r="J216" s="16"/>
      <c r="K216" s="16"/>
    </row>
    <row r="217" ht="16.5" spans="1:11">
      <c r="J217" s="16"/>
      <c r="K217" s="16"/>
    </row>
    <row r="218" ht="16.5" spans="1:11">
      <c r="J218" s="16"/>
      <c r="K218" s="16"/>
    </row>
    <row r="219" ht="16.5" spans="1:11">
      <c r="J219" s="16"/>
      <c r="K219" s="16"/>
    </row>
    <row r="220" ht="16.5" spans="1:11">
      <c r="J220" s="16"/>
      <c r="K220" s="16"/>
    </row>
    <row r="221" ht="16.5" spans="1:11">
      <c r="J221" s="16"/>
      <c r="K221" s="16"/>
    </row>
    <row r="222" ht="16.5" spans="1:11">
      <c r="J222" s="16"/>
      <c r="K222" s="16"/>
    </row>
    <row r="223" ht="16.5" spans="1:11">
      <c r="J223" s="16"/>
      <c r="K223" s="16"/>
    </row>
    <row r="224" ht="16.5" spans="1:11">
      <c r="J224" s="16"/>
      <c r="K224" s="16"/>
    </row>
    <row r="225" ht="16.5" spans="10:11">
      <c r="J225" s="16"/>
      <c r="K225" s="16"/>
    </row>
    <row r="226" ht="16.5" spans="10:11">
      <c r="J226" s="16"/>
      <c r="K226" s="16"/>
    </row>
    <row r="227" ht="16.5" spans="10:11">
      <c r="J227" s="16"/>
      <c r="K227" s="16"/>
    </row>
    <row r="228" ht="16.5" spans="10:11">
      <c r="J228" s="16"/>
      <c r="K228" s="1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215" etc:filterBottomFollowUsedRange="0">
    <extLst/>
  </autoFilter>
  <dataValidations count="2">
    <dataValidation type="list" allowBlank="1" showInputMessage="1" showErrorMessage="1" sqref="O1">
      <formula1>"是,否"</formula1>
    </dataValidation>
    <dataValidation allowBlank="1" showInputMessage="1" showErrorMessage="1" sqref="P1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一对一"/>
  <dimension ref="A1:W207"/>
  <sheetViews>
    <sheetView tabSelected="1" zoomScale="64" zoomScaleNormal="64" workbookViewId="0">
      <pane xSplit="4" topLeftCell="E1" activePane="topRight" state="frozen"/>
      <selection/>
      <selection pane="topRight" activeCell="E1" sqref="E1"/>
    </sheetView>
  </sheetViews>
  <sheetFormatPr defaultColWidth="9" defaultRowHeight="14.25"/>
  <cols>
    <col min="1" max="1" width="7.73333333333333" style="1" customWidth="1"/>
    <col min="2" max="4" width="14" style="1" customWidth="1"/>
    <col min="5" max="5" width="5.625" style="1" customWidth="1"/>
    <col min="6" max="6" width="20.1666666666667" style="1" hidden="1" customWidth="1"/>
    <col min="7" max="7" width="32.25" style="1" hidden="1" customWidth="1"/>
    <col min="8" max="9" width="14" style="2" hidden="1" customWidth="1"/>
    <col min="10" max="10" width="14" style="3" hidden="1" customWidth="1"/>
    <col min="11" max="11" width="26.3083333333333" style="3" hidden="1" customWidth="1"/>
    <col min="12" max="15" width="11.4166666666667" style="3" hidden="1" customWidth="1"/>
    <col min="16" max="18" width="14" style="4"/>
    <col min="19" max="28" width="14" customWidth="1"/>
  </cols>
  <sheetData>
    <row r="1" ht="39" customHeight="1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8</v>
      </c>
      <c r="H1" s="7" t="s">
        <v>9</v>
      </c>
      <c r="I1" s="8" t="s">
        <v>10</v>
      </c>
      <c r="J1" s="9" t="s">
        <v>11</v>
      </c>
      <c r="K1" s="10" t="s">
        <v>232</v>
      </c>
      <c r="L1" s="9" t="s">
        <v>12</v>
      </c>
      <c r="M1" s="11" t="s">
        <v>13</v>
      </c>
      <c r="N1" s="11" t="s">
        <v>14</v>
      </c>
      <c r="O1" s="11" t="s">
        <v>233</v>
      </c>
      <c r="P1" s="12" t="s">
        <v>16</v>
      </c>
      <c r="Q1" s="12" t="s">
        <v>17</v>
      </c>
      <c r="R1" s="12" t="s">
        <v>10</v>
      </c>
      <c r="S1" s="13" t="s">
        <v>18</v>
      </c>
      <c r="T1" s="13" t="s">
        <v>19</v>
      </c>
      <c r="U1" s="13" t="s">
        <v>20</v>
      </c>
      <c r="V1" s="14" t="s">
        <v>21</v>
      </c>
      <c r="W1" s="15" t="s">
        <v>7</v>
      </c>
    </row>
    <row r="2" ht="16.15" customHeight="1" spans="1:23">
      <c r="A2" s="16">
        <v>2</v>
      </c>
      <c r="B2" s="17" t="s">
        <v>22</v>
      </c>
      <c r="C2" s="18" t="s">
        <v>23</v>
      </c>
      <c r="D2" s="19" t="s">
        <v>234</v>
      </c>
      <c r="E2" s="20" t="s">
        <v>25</v>
      </c>
      <c r="F2" s="19" t="s">
        <v>121</v>
      </c>
      <c r="G2" s="19">
        <v>85</v>
      </c>
      <c r="H2" s="7">
        <v>85</v>
      </c>
      <c r="I2" s="8">
        <v>9</v>
      </c>
      <c r="J2" s="3">
        <f t="shared" ref="J2:J10" si="0">G2-H2</f>
        <v>0</v>
      </c>
      <c r="K2" s="21" t="s">
        <v>235</v>
      </c>
      <c r="L2" s="21" t="s">
        <v>29</v>
      </c>
      <c r="M2" s="22" t="s">
        <v>35</v>
      </c>
      <c r="N2" s="22"/>
      <c r="O2" s="23"/>
      <c r="P2" s="24">
        <v>87</v>
      </c>
      <c r="Q2" s="24">
        <v>78</v>
      </c>
      <c r="R2" s="24"/>
      <c r="S2" s="24">
        <f t="shared" ref="S2:S9" si="1">Q2-P2</f>
        <v>-9</v>
      </c>
      <c r="T2" s="24"/>
      <c r="U2" s="24">
        <f t="shared" ref="U2:U10" si="2">Q2-H2</f>
        <v>-7</v>
      </c>
      <c r="V2" s="25" t="s">
        <v>236</v>
      </c>
      <c r="W2" s="25" t="s">
        <v>237</v>
      </c>
    </row>
    <row r="3" ht="16.15" customHeight="1" spans="1:23">
      <c r="A3" s="16">
        <v>3</v>
      </c>
      <c r="B3" s="17" t="s">
        <v>22</v>
      </c>
      <c r="C3" s="18" t="s">
        <v>23</v>
      </c>
      <c r="D3" s="17" t="s">
        <v>238</v>
      </c>
      <c r="E3" s="20" t="s">
        <v>174</v>
      </c>
      <c r="F3" s="17" t="s">
        <v>239</v>
      </c>
      <c r="G3" s="19">
        <v>95</v>
      </c>
      <c r="H3" s="7">
        <v>97</v>
      </c>
      <c r="I3" s="8">
        <v>4</v>
      </c>
      <c r="J3" s="3">
        <f t="shared" si="0"/>
        <v>-2</v>
      </c>
      <c r="K3" s="21" t="s">
        <v>240</v>
      </c>
      <c r="L3" s="21" t="s">
        <v>29</v>
      </c>
      <c r="M3" s="22">
        <v>99</v>
      </c>
      <c r="N3" s="22" t="s">
        <v>30</v>
      </c>
      <c r="O3" s="23" t="s">
        <v>30</v>
      </c>
      <c r="P3" s="24">
        <v>99</v>
      </c>
      <c r="Q3" s="24">
        <v>90</v>
      </c>
      <c r="R3" s="24"/>
      <c r="S3" s="24">
        <f t="shared" si="1"/>
        <v>-9</v>
      </c>
      <c r="T3" s="24"/>
      <c r="U3" s="24">
        <f t="shared" si="2"/>
        <v>-7</v>
      </c>
      <c r="V3" s="25" t="s">
        <v>241</v>
      </c>
      <c r="W3" s="25" t="s">
        <v>242</v>
      </c>
    </row>
    <row r="4" ht="16.15" customHeight="1" spans="1:23">
      <c r="A4" s="16">
        <v>4</v>
      </c>
      <c r="B4" s="17" t="s">
        <v>22</v>
      </c>
      <c r="C4" s="18" t="s">
        <v>23</v>
      </c>
      <c r="D4" s="17" t="s">
        <v>243</v>
      </c>
      <c r="E4" s="17" t="s">
        <v>174</v>
      </c>
      <c r="F4" s="19" t="s">
        <v>87</v>
      </c>
      <c r="G4" s="19">
        <v>98</v>
      </c>
      <c r="H4" s="7">
        <v>87</v>
      </c>
      <c r="I4" s="8">
        <v>15</v>
      </c>
      <c r="J4" s="3">
        <f t="shared" si="0"/>
        <v>11</v>
      </c>
      <c r="K4" s="21" t="s">
        <v>244</v>
      </c>
      <c r="L4" s="21" t="s">
        <v>29</v>
      </c>
      <c r="M4" s="22">
        <v>87</v>
      </c>
      <c r="N4" s="22" t="s">
        <v>41</v>
      </c>
      <c r="O4" s="23" t="s">
        <v>30</v>
      </c>
      <c r="P4" s="24">
        <v>95</v>
      </c>
      <c r="Q4" s="24">
        <v>96</v>
      </c>
      <c r="R4" s="24"/>
      <c r="S4" s="24">
        <f t="shared" si="1"/>
        <v>1</v>
      </c>
      <c r="T4" s="24"/>
      <c r="U4" s="24">
        <f t="shared" si="2"/>
        <v>9</v>
      </c>
      <c r="V4" s="24"/>
      <c r="W4" s="24"/>
    </row>
    <row r="5" ht="16.15" customHeight="1" spans="1:23">
      <c r="A5" s="16">
        <v>5</v>
      </c>
      <c r="B5" s="17" t="s">
        <v>22</v>
      </c>
      <c r="C5" s="18" t="s">
        <v>23</v>
      </c>
      <c r="D5" s="17" t="s">
        <v>245</v>
      </c>
      <c r="E5" s="17" t="s">
        <v>25</v>
      </c>
      <c r="F5" s="19" t="s">
        <v>246</v>
      </c>
      <c r="G5" s="19">
        <v>70</v>
      </c>
      <c r="H5" s="7">
        <v>79</v>
      </c>
      <c r="I5" s="8"/>
      <c r="J5" s="3">
        <f t="shared" si="0"/>
        <v>-9</v>
      </c>
      <c r="K5" s="21" t="s">
        <v>247</v>
      </c>
      <c r="L5" s="21" t="s">
        <v>29</v>
      </c>
      <c r="M5" s="22" t="s">
        <v>35</v>
      </c>
      <c r="N5" s="22"/>
      <c r="O5" s="23"/>
      <c r="P5" s="24">
        <v>85</v>
      </c>
      <c r="Q5" s="24">
        <v>88</v>
      </c>
      <c r="R5" s="24"/>
      <c r="S5" s="24">
        <f t="shared" si="1"/>
        <v>3</v>
      </c>
      <c r="T5" s="24"/>
      <c r="U5" s="24">
        <f t="shared" si="2"/>
        <v>9</v>
      </c>
      <c r="V5" s="25" t="s">
        <v>248</v>
      </c>
      <c r="W5" s="25" t="s">
        <v>249</v>
      </c>
    </row>
    <row r="6" ht="16.15" customHeight="1" spans="1:23">
      <c r="A6" s="16">
        <v>6</v>
      </c>
      <c r="B6" s="17" t="s">
        <v>22</v>
      </c>
      <c r="C6" s="18" t="s">
        <v>23</v>
      </c>
      <c r="D6" s="17" t="s">
        <v>250</v>
      </c>
      <c r="E6" s="17" t="s">
        <v>219</v>
      </c>
      <c r="F6" s="19" t="s">
        <v>251</v>
      </c>
      <c r="G6" s="19">
        <v>95</v>
      </c>
      <c r="H6" s="7">
        <v>78</v>
      </c>
      <c r="I6" s="8"/>
      <c r="J6" s="3">
        <f t="shared" si="0"/>
        <v>17</v>
      </c>
      <c r="K6" s="21" t="s">
        <v>252</v>
      </c>
      <c r="L6" s="21" t="s">
        <v>36</v>
      </c>
      <c r="M6" s="22" t="s">
        <v>35</v>
      </c>
      <c r="N6" s="22"/>
      <c r="O6" s="23"/>
      <c r="P6" s="24">
        <v>85</v>
      </c>
      <c r="Q6" s="24">
        <v>90</v>
      </c>
      <c r="R6" s="24"/>
      <c r="S6" s="24">
        <f t="shared" si="1"/>
        <v>5</v>
      </c>
      <c r="T6" s="24"/>
      <c r="U6" s="24">
        <f t="shared" si="2"/>
        <v>12</v>
      </c>
      <c r="V6" s="24"/>
      <c r="W6" s="24"/>
    </row>
    <row r="7" ht="16.15" customHeight="1" spans="1:23">
      <c r="A7" s="16">
        <v>8</v>
      </c>
      <c r="B7" s="17" t="s">
        <v>22</v>
      </c>
      <c r="C7" s="18" t="s">
        <v>23</v>
      </c>
      <c r="D7" s="20" t="s">
        <v>253</v>
      </c>
      <c r="E7" s="20" t="s">
        <v>25</v>
      </c>
      <c r="F7" s="20" t="s">
        <v>254</v>
      </c>
      <c r="G7" s="20">
        <v>100</v>
      </c>
      <c r="H7" s="7">
        <v>93</v>
      </c>
      <c r="I7" s="8">
        <v>14</v>
      </c>
      <c r="J7" s="3">
        <f t="shared" si="0"/>
        <v>7</v>
      </c>
      <c r="K7" s="21" t="s">
        <v>255</v>
      </c>
      <c r="L7" s="21" t="s">
        <v>29</v>
      </c>
      <c r="M7" s="22">
        <v>97</v>
      </c>
      <c r="N7" s="22" t="s">
        <v>30</v>
      </c>
      <c r="O7" s="23" t="s">
        <v>30</v>
      </c>
      <c r="P7" s="24">
        <v>97</v>
      </c>
      <c r="Q7" s="24">
        <v>97</v>
      </c>
      <c r="R7" s="24"/>
      <c r="S7" s="24">
        <f t="shared" si="1"/>
        <v>0</v>
      </c>
      <c r="T7" s="24"/>
      <c r="U7" s="24">
        <f t="shared" si="2"/>
        <v>4</v>
      </c>
      <c r="V7" s="25" t="s">
        <v>256</v>
      </c>
      <c r="W7" s="25" t="s">
        <v>257</v>
      </c>
    </row>
    <row r="8" ht="16.15" customHeight="1" spans="1:23">
      <c r="A8" s="16">
        <v>10</v>
      </c>
      <c r="B8" s="17" t="s">
        <v>22</v>
      </c>
      <c r="C8" s="18" t="s">
        <v>23</v>
      </c>
      <c r="D8" s="20" t="s">
        <v>258</v>
      </c>
      <c r="E8" s="20" t="s">
        <v>174</v>
      </c>
      <c r="F8" s="20" t="s">
        <v>109</v>
      </c>
      <c r="G8" s="20">
        <v>95</v>
      </c>
      <c r="H8" s="7">
        <v>91</v>
      </c>
      <c r="I8" s="8">
        <v>20</v>
      </c>
      <c r="J8" s="3">
        <f t="shared" si="0"/>
        <v>4</v>
      </c>
      <c r="K8" s="21" t="s">
        <v>259</v>
      </c>
      <c r="L8" s="21" t="s">
        <v>29</v>
      </c>
      <c r="M8" s="22" t="s">
        <v>35</v>
      </c>
      <c r="N8" s="22"/>
      <c r="O8" s="23"/>
      <c r="P8" s="24">
        <v>95</v>
      </c>
      <c r="Q8" s="24">
        <v>95</v>
      </c>
      <c r="R8" s="24"/>
      <c r="S8" s="24">
        <f t="shared" si="1"/>
        <v>0</v>
      </c>
      <c r="T8" s="24"/>
      <c r="U8" s="24">
        <f t="shared" si="2"/>
        <v>4</v>
      </c>
      <c r="V8" s="24"/>
      <c r="W8" s="24"/>
    </row>
    <row r="9" ht="16.15" customHeight="1" spans="1:23">
      <c r="A9" s="16"/>
      <c r="B9" s="17" t="s">
        <v>22</v>
      </c>
      <c r="C9" s="18" t="s">
        <v>23</v>
      </c>
      <c r="D9" s="20" t="s">
        <v>260</v>
      </c>
      <c r="E9" s="20" t="s">
        <v>174</v>
      </c>
      <c r="F9" s="20"/>
      <c r="G9" s="20">
        <v>95</v>
      </c>
      <c r="H9" s="7">
        <v>99</v>
      </c>
      <c r="I9" s="8">
        <v>5</v>
      </c>
      <c r="J9" s="3">
        <f t="shared" si="0"/>
        <v>-4</v>
      </c>
      <c r="K9" s="21" t="s">
        <v>261</v>
      </c>
      <c r="L9" s="21" t="s">
        <v>29</v>
      </c>
      <c r="M9" s="22">
        <v>83</v>
      </c>
      <c r="N9" s="22" t="s">
        <v>41</v>
      </c>
      <c r="O9" s="23" t="s">
        <v>30</v>
      </c>
      <c r="P9" s="24">
        <v>100</v>
      </c>
      <c r="Q9" s="24">
        <v>92</v>
      </c>
      <c r="R9" s="24"/>
      <c r="S9" s="24">
        <f t="shared" si="1"/>
        <v>-8</v>
      </c>
      <c r="T9" s="24"/>
      <c r="U9" s="24">
        <f t="shared" si="2"/>
        <v>-7</v>
      </c>
      <c r="V9" s="25" t="s">
        <v>262</v>
      </c>
      <c r="W9" s="25" t="s">
        <v>263</v>
      </c>
    </row>
    <row r="10" ht="16.15" customHeight="1" spans="1:23">
      <c r="A10" s="16"/>
      <c r="B10" s="17" t="s">
        <v>22</v>
      </c>
      <c r="C10" s="18" t="s">
        <v>23</v>
      </c>
      <c r="D10" s="17" t="s">
        <v>264</v>
      </c>
      <c r="E10" s="17" t="s">
        <v>219</v>
      </c>
      <c r="F10" s="16"/>
      <c r="G10" s="16"/>
      <c r="H10" s="7">
        <v>80</v>
      </c>
      <c r="I10" s="8"/>
      <c r="M10" s="26"/>
      <c r="N10" s="26"/>
      <c r="O10" s="27"/>
      <c r="P10" s="24"/>
      <c r="Q10" s="24">
        <v>92</v>
      </c>
      <c r="R10" s="24"/>
      <c r="S10" s="24"/>
      <c r="T10" s="24"/>
      <c r="U10" s="24">
        <f t="shared" si="2"/>
        <v>12</v>
      </c>
      <c r="V10" s="25" t="s">
        <v>265</v>
      </c>
      <c r="W10" s="25" t="s">
        <v>266</v>
      </c>
    </row>
    <row r="11" ht="16.15" customHeight="1" spans="1:23">
      <c r="A11" s="16">
        <v>12</v>
      </c>
      <c r="B11" s="17" t="s">
        <v>22</v>
      </c>
      <c r="C11" s="16" t="s">
        <v>267</v>
      </c>
      <c r="D11" s="16" t="s">
        <v>268</v>
      </c>
      <c r="E11" s="16" t="s">
        <v>219</v>
      </c>
      <c r="F11" s="16" t="s">
        <v>269</v>
      </c>
      <c r="G11" s="16">
        <v>94</v>
      </c>
      <c r="H11" s="7"/>
      <c r="I11" s="8"/>
      <c r="J11" s="3">
        <f t="shared" ref="J11:J37" si="3">G11-H11</f>
        <v>94</v>
      </c>
      <c r="M11" s="26">
        <v>101</v>
      </c>
      <c r="N11" s="26" t="s">
        <v>30</v>
      </c>
      <c r="O11" s="27"/>
      <c r="P11" s="24">
        <v>95</v>
      </c>
      <c r="Q11" s="24">
        <v>85</v>
      </c>
      <c r="R11" s="24"/>
      <c r="S11" s="24">
        <f t="shared" ref="S11:S31" si="4">Q11-P11</f>
        <v>-10</v>
      </c>
      <c r="T11" s="24"/>
      <c r="U11" s="24">
        <f t="shared" ref="U11:U31" si="5">Q11-H11</f>
        <v>85</v>
      </c>
      <c r="V11" s="24"/>
      <c r="W11" s="24"/>
    </row>
    <row r="12" ht="16.15" customHeight="1" spans="1:23">
      <c r="A12" s="16">
        <v>13</v>
      </c>
      <c r="B12" s="17" t="s">
        <v>22</v>
      </c>
      <c r="C12" s="16" t="s">
        <v>267</v>
      </c>
      <c r="D12" s="16" t="s">
        <v>270</v>
      </c>
      <c r="E12" s="16" t="s">
        <v>25</v>
      </c>
      <c r="F12" s="16" t="s">
        <v>271</v>
      </c>
      <c r="G12" s="16">
        <v>90</v>
      </c>
      <c r="H12" s="7">
        <v>88</v>
      </c>
      <c r="I12" s="8"/>
      <c r="J12" s="3">
        <f t="shared" si="3"/>
        <v>2</v>
      </c>
      <c r="K12" s="3" t="s">
        <v>272</v>
      </c>
      <c r="L12" s="3" t="s">
        <v>36</v>
      </c>
      <c r="M12" s="26"/>
      <c r="N12" s="26"/>
      <c r="O12" s="27"/>
      <c r="P12" s="24">
        <v>90</v>
      </c>
      <c r="Q12" s="24"/>
      <c r="R12" s="24"/>
      <c r="S12" s="24">
        <f t="shared" si="4"/>
        <v>-90</v>
      </c>
      <c r="T12" s="24"/>
      <c r="U12" s="24">
        <f t="shared" si="5"/>
        <v>-88</v>
      </c>
      <c r="V12" s="24"/>
      <c r="W12" s="24"/>
    </row>
    <row r="13" ht="16.15" customHeight="1" spans="1:23">
      <c r="A13" s="16">
        <v>14</v>
      </c>
      <c r="B13" s="17" t="s">
        <v>22</v>
      </c>
      <c r="C13" s="16" t="s">
        <v>267</v>
      </c>
      <c r="D13" s="16" t="s">
        <v>273</v>
      </c>
      <c r="E13" s="16" t="s">
        <v>174</v>
      </c>
      <c r="F13" s="16">
        <v>85</v>
      </c>
      <c r="G13" s="16">
        <v>86</v>
      </c>
      <c r="H13" s="7">
        <v>87</v>
      </c>
      <c r="I13" s="8"/>
      <c r="J13" s="3">
        <f t="shared" si="3"/>
        <v>-1</v>
      </c>
      <c r="K13" s="3" t="s">
        <v>272</v>
      </c>
      <c r="L13" s="3" t="s">
        <v>36</v>
      </c>
      <c r="M13" s="26">
        <v>86</v>
      </c>
      <c r="N13" s="26"/>
      <c r="O13" s="27" t="s">
        <v>30</v>
      </c>
      <c r="P13" s="24">
        <v>90</v>
      </c>
      <c r="Q13" s="24"/>
      <c r="R13" s="24"/>
      <c r="S13" s="24">
        <f t="shared" si="4"/>
        <v>-90</v>
      </c>
      <c r="T13" s="24"/>
      <c r="U13" s="24">
        <f t="shared" si="5"/>
        <v>-87</v>
      </c>
      <c r="V13" s="24"/>
      <c r="W13" s="24"/>
    </row>
    <row r="14" ht="16.15" customHeight="1" spans="1:23">
      <c r="A14" s="16">
        <v>15</v>
      </c>
      <c r="B14" s="17" t="s">
        <v>22</v>
      </c>
      <c r="C14" s="16" t="s">
        <v>267</v>
      </c>
      <c r="D14" s="16" t="s">
        <v>274</v>
      </c>
      <c r="E14" s="16" t="s">
        <v>174</v>
      </c>
      <c r="F14" s="16">
        <v>90</v>
      </c>
      <c r="G14" s="16">
        <v>94</v>
      </c>
      <c r="H14" s="7"/>
      <c r="I14" s="8"/>
      <c r="J14" s="3">
        <f t="shared" si="3"/>
        <v>94</v>
      </c>
      <c r="M14" s="26"/>
      <c r="N14" s="26"/>
      <c r="O14" s="27"/>
      <c r="P14" s="24"/>
      <c r="Q14" s="24">
        <v>93</v>
      </c>
      <c r="R14" s="24"/>
      <c r="S14" s="24">
        <f t="shared" si="4"/>
        <v>93</v>
      </c>
      <c r="T14" s="24"/>
      <c r="U14" s="24">
        <f>Q12</f>
        <v>0</v>
      </c>
      <c r="V14" s="24"/>
      <c r="W14" s="24"/>
    </row>
    <row r="15" ht="16.15" customHeight="1" spans="1:23">
      <c r="A15" s="16">
        <v>16</v>
      </c>
      <c r="B15" s="17" t="s">
        <v>22</v>
      </c>
      <c r="C15" s="16" t="s">
        <v>267</v>
      </c>
      <c r="D15" s="16" t="s">
        <v>275</v>
      </c>
      <c r="E15" s="16" t="s">
        <v>25</v>
      </c>
      <c r="F15" s="16">
        <v>82</v>
      </c>
      <c r="G15" s="16">
        <v>86</v>
      </c>
      <c r="H15" s="7">
        <v>91</v>
      </c>
      <c r="I15" s="8"/>
      <c r="J15" s="3">
        <f t="shared" si="3"/>
        <v>-5</v>
      </c>
      <c r="K15" s="3" t="s">
        <v>276</v>
      </c>
      <c r="L15" s="3" t="s">
        <v>29</v>
      </c>
      <c r="M15" s="26">
        <v>82</v>
      </c>
      <c r="N15" s="26"/>
      <c r="O15" s="27"/>
      <c r="P15" s="24">
        <v>94</v>
      </c>
      <c r="Q15" s="24">
        <v>90</v>
      </c>
      <c r="R15" s="24"/>
      <c r="S15" s="24">
        <f t="shared" si="4"/>
        <v>-4</v>
      </c>
      <c r="T15" s="24"/>
      <c r="U15" s="24">
        <f t="shared" si="5"/>
        <v>-1</v>
      </c>
      <c r="V15" s="24"/>
      <c r="W15" s="24"/>
    </row>
    <row r="16" ht="16.15" customHeight="1" spans="1:23">
      <c r="A16" s="16">
        <v>17</v>
      </c>
      <c r="B16" s="17" t="s">
        <v>22</v>
      </c>
      <c r="C16" s="16" t="s">
        <v>267</v>
      </c>
      <c r="D16" s="16" t="s">
        <v>277</v>
      </c>
      <c r="E16" s="16" t="s">
        <v>219</v>
      </c>
      <c r="F16" s="16">
        <v>83</v>
      </c>
      <c r="G16" s="16">
        <v>86</v>
      </c>
      <c r="H16" s="7">
        <v>91</v>
      </c>
      <c r="I16" s="8"/>
      <c r="J16" s="3">
        <f t="shared" si="3"/>
        <v>-5</v>
      </c>
      <c r="M16" s="22" t="s">
        <v>35</v>
      </c>
      <c r="N16" s="26"/>
      <c r="O16" s="27"/>
      <c r="P16" s="24"/>
      <c r="Q16" s="24">
        <v>95</v>
      </c>
      <c r="R16" s="24"/>
      <c r="S16" s="24">
        <f t="shared" si="4"/>
        <v>95</v>
      </c>
      <c r="T16" s="24"/>
      <c r="U16" s="24">
        <f t="shared" si="5"/>
        <v>4</v>
      </c>
      <c r="V16" s="24"/>
      <c r="W16" s="24"/>
    </row>
    <row r="17" ht="16.15" hidden="1" customHeight="1" spans="1:23">
      <c r="A17" s="16">
        <v>18</v>
      </c>
      <c r="B17" s="17" t="s">
        <v>22</v>
      </c>
      <c r="C17" s="16" t="s">
        <v>172</v>
      </c>
      <c r="D17" s="16" t="s">
        <v>278</v>
      </c>
      <c r="E17" s="16" t="s">
        <v>219</v>
      </c>
      <c r="F17" s="16">
        <v>73</v>
      </c>
      <c r="G17" s="16">
        <v>85</v>
      </c>
      <c r="H17" s="7"/>
      <c r="I17" s="8"/>
      <c r="J17" s="3">
        <f t="shared" si="3"/>
        <v>85</v>
      </c>
      <c r="M17" s="26"/>
      <c r="N17" s="26"/>
      <c r="O17" s="27"/>
      <c r="P17" s="24"/>
      <c r="Q17" s="24"/>
      <c r="R17" s="24"/>
      <c r="S17" s="24">
        <f t="shared" si="4"/>
        <v>0</v>
      </c>
      <c r="T17" s="24"/>
      <c r="U17" s="24">
        <f t="shared" si="5"/>
        <v>0</v>
      </c>
      <c r="V17" s="24"/>
      <c r="W17" s="24"/>
    </row>
    <row r="18" ht="16.15" hidden="1" customHeight="1" spans="1:23">
      <c r="A18" s="16">
        <v>19</v>
      </c>
      <c r="B18" s="17" t="s">
        <v>22</v>
      </c>
      <c r="C18" s="16" t="s">
        <v>172</v>
      </c>
      <c r="D18" s="16" t="s">
        <v>279</v>
      </c>
      <c r="E18" s="16" t="s">
        <v>25</v>
      </c>
      <c r="F18" s="16">
        <v>95</v>
      </c>
      <c r="G18" s="16">
        <v>90</v>
      </c>
      <c r="H18" s="7"/>
      <c r="I18" s="8"/>
      <c r="J18" s="3">
        <f t="shared" si="3"/>
        <v>90</v>
      </c>
      <c r="M18" s="26"/>
      <c r="N18" s="26"/>
      <c r="O18" s="27"/>
      <c r="P18" s="24"/>
      <c r="Q18" s="24"/>
      <c r="R18" s="24"/>
      <c r="S18" s="24">
        <f t="shared" si="4"/>
        <v>0</v>
      </c>
      <c r="T18" s="24"/>
      <c r="U18" s="24">
        <f t="shared" si="5"/>
        <v>0</v>
      </c>
      <c r="V18" s="24"/>
      <c r="W18" s="24"/>
    </row>
    <row r="19" ht="16.15" hidden="1" customHeight="1" spans="1:23">
      <c r="A19" s="16">
        <v>20</v>
      </c>
      <c r="B19" s="17" t="s">
        <v>22</v>
      </c>
      <c r="C19" s="16" t="s">
        <v>172</v>
      </c>
      <c r="D19" s="16" t="s">
        <v>280</v>
      </c>
      <c r="E19" s="16" t="s">
        <v>25</v>
      </c>
      <c r="F19" s="16">
        <v>90</v>
      </c>
      <c r="G19" s="16">
        <v>90</v>
      </c>
      <c r="H19" s="7"/>
      <c r="I19" s="8"/>
      <c r="J19" s="3">
        <f t="shared" si="3"/>
        <v>90</v>
      </c>
      <c r="M19" s="26"/>
      <c r="N19" s="26"/>
      <c r="O19" s="27"/>
      <c r="P19" s="24"/>
      <c r="Q19" s="24"/>
      <c r="R19" s="24"/>
      <c r="S19" s="24">
        <f t="shared" si="4"/>
        <v>0</v>
      </c>
      <c r="T19" s="24"/>
      <c r="U19" s="24">
        <f t="shared" si="5"/>
        <v>0</v>
      </c>
      <c r="V19" s="24"/>
      <c r="W19" s="24"/>
    </row>
    <row r="20" ht="16.15" hidden="1" customHeight="1" spans="1:23">
      <c r="A20" s="16">
        <v>21</v>
      </c>
      <c r="B20" s="17" t="s">
        <v>22</v>
      </c>
      <c r="C20" s="16" t="s">
        <v>172</v>
      </c>
      <c r="D20" s="16" t="s">
        <v>281</v>
      </c>
      <c r="E20" s="16" t="s">
        <v>174</v>
      </c>
      <c r="F20" s="16">
        <v>56</v>
      </c>
      <c r="G20" s="16">
        <v>60</v>
      </c>
      <c r="H20" s="7"/>
      <c r="I20" s="8"/>
      <c r="J20" s="3">
        <f t="shared" si="3"/>
        <v>60</v>
      </c>
      <c r="M20" s="26"/>
      <c r="N20" s="26"/>
      <c r="O20" s="27"/>
      <c r="P20" s="24"/>
      <c r="Q20" s="24"/>
      <c r="R20" s="24"/>
      <c r="S20" s="24">
        <f t="shared" si="4"/>
        <v>0</v>
      </c>
      <c r="T20" s="24"/>
      <c r="U20" s="24">
        <f t="shared" si="5"/>
        <v>0</v>
      </c>
      <c r="V20" s="24"/>
      <c r="W20" s="24"/>
    </row>
    <row r="21" ht="16.15" customHeight="1" spans="1:23">
      <c r="A21" s="16">
        <v>22</v>
      </c>
      <c r="B21" s="17" t="s">
        <v>22</v>
      </c>
      <c r="C21" s="16" t="s">
        <v>176</v>
      </c>
      <c r="D21" s="16" t="s">
        <v>282</v>
      </c>
      <c r="E21" s="16" t="s">
        <v>219</v>
      </c>
      <c r="F21" s="16" t="s">
        <v>283</v>
      </c>
      <c r="G21" s="16">
        <v>90</v>
      </c>
      <c r="H21" s="7">
        <v>87</v>
      </c>
      <c r="I21" s="8"/>
      <c r="J21" s="3">
        <f t="shared" si="3"/>
        <v>3</v>
      </c>
      <c r="K21" s="28" t="s">
        <v>284</v>
      </c>
      <c r="L21" s="21" t="s">
        <v>36</v>
      </c>
      <c r="M21" s="22">
        <v>70</v>
      </c>
      <c r="N21" s="22"/>
      <c r="O21" s="23" t="s">
        <v>30</v>
      </c>
      <c r="P21" s="24">
        <v>80</v>
      </c>
      <c r="Q21" s="24">
        <v>78</v>
      </c>
      <c r="R21" s="24"/>
      <c r="S21" s="24">
        <f t="shared" si="4"/>
        <v>-2</v>
      </c>
      <c r="T21" s="24"/>
      <c r="U21" s="24">
        <f t="shared" si="5"/>
        <v>-9</v>
      </c>
      <c r="V21" s="25" t="s">
        <v>285</v>
      </c>
      <c r="W21" s="25" t="s">
        <v>286</v>
      </c>
    </row>
    <row r="22" ht="16.15" customHeight="1" spans="1:23">
      <c r="A22" s="16">
        <v>23</v>
      </c>
      <c r="B22" s="17" t="s">
        <v>22</v>
      </c>
      <c r="C22" s="16" t="s">
        <v>176</v>
      </c>
      <c r="D22" s="16" t="s">
        <v>287</v>
      </c>
      <c r="E22" s="16" t="s">
        <v>25</v>
      </c>
      <c r="F22" s="16" t="s">
        <v>35</v>
      </c>
      <c r="G22" s="16">
        <v>90</v>
      </c>
      <c r="H22" s="7">
        <v>85</v>
      </c>
      <c r="I22" s="8"/>
      <c r="J22" s="3">
        <f t="shared" si="3"/>
        <v>5</v>
      </c>
      <c r="K22" s="21" t="s">
        <v>272</v>
      </c>
      <c r="L22" s="21" t="s">
        <v>29</v>
      </c>
      <c r="M22" s="22" t="s">
        <v>35</v>
      </c>
      <c r="N22" s="22"/>
      <c r="O22" s="23" t="s">
        <v>41</v>
      </c>
      <c r="P22" s="24">
        <v>95</v>
      </c>
      <c r="Q22" s="24">
        <v>78</v>
      </c>
      <c r="R22" s="24"/>
      <c r="S22" s="24">
        <f t="shared" si="4"/>
        <v>-17</v>
      </c>
      <c r="T22" s="24"/>
      <c r="U22" s="24">
        <f t="shared" si="5"/>
        <v>-7</v>
      </c>
      <c r="V22" s="25" t="s">
        <v>288</v>
      </c>
      <c r="W22" s="25" t="s">
        <v>289</v>
      </c>
    </row>
    <row r="23" ht="16.15" customHeight="1" spans="1:23">
      <c r="A23" s="16">
        <v>24</v>
      </c>
      <c r="B23" s="17" t="s">
        <v>22</v>
      </c>
      <c r="C23" s="16" t="s">
        <v>176</v>
      </c>
      <c r="D23" s="16" t="s">
        <v>290</v>
      </c>
      <c r="E23" s="16" t="s">
        <v>25</v>
      </c>
      <c r="F23" s="16" t="s">
        <v>291</v>
      </c>
      <c r="G23" s="16">
        <v>90</v>
      </c>
      <c r="H23" s="7">
        <v>95</v>
      </c>
      <c r="I23" s="8"/>
      <c r="J23" s="3">
        <f t="shared" si="3"/>
        <v>-5</v>
      </c>
      <c r="K23" s="21" t="s">
        <v>272</v>
      </c>
      <c r="L23" s="21" t="s">
        <v>29</v>
      </c>
      <c r="M23" s="22">
        <v>116</v>
      </c>
      <c r="N23" s="22"/>
      <c r="O23" s="23" t="s">
        <v>30</v>
      </c>
      <c r="P23" s="24">
        <v>95</v>
      </c>
      <c r="Q23" s="24">
        <v>88</v>
      </c>
      <c r="R23" s="24"/>
      <c r="S23" s="24">
        <f t="shared" si="4"/>
        <v>-7</v>
      </c>
      <c r="T23" s="24"/>
      <c r="U23" s="24">
        <f t="shared" si="5"/>
        <v>-7</v>
      </c>
      <c r="V23" s="25" t="s">
        <v>292</v>
      </c>
      <c r="W23" s="25" t="s">
        <v>293</v>
      </c>
    </row>
    <row r="24" ht="16.15" customHeight="1" spans="1:23">
      <c r="A24" s="16">
        <v>25</v>
      </c>
      <c r="B24" s="17" t="s">
        <v>22</v>
      </c>
      <c r="C24" s="16" t="s">
        <v>176</v>
      </c>
      <c r="D24" s="16" t="s">
        <v>294</v>
      </c>
      <c r="E24" s="16" t="s">
        <v>219</v>
      </c>
      <c r="F24" s="16" t="s">
        <v>295</v>
      </c>
      <c r="G24" s="16">
        <v>80</v>
      </c>
      <c r="H24" s="7">
        <v>69</v>
      </c>
      <c r="I24" s="8"/>
      <c r="J24" s="3">
        <f t="shared" si="3"/>
        <v>11</v>
      </c>
      <c r="K24" s="21" t="s">
        <v>272</v>
      </c>
      <c r="L24" s="21" t="s">
        <v>29</v>
      </c>
      <c r="M24" s="22" t="s">
        <v>33</v>
      </c>
      <c r="N24" s="22"/>
      <c r="O24" s="23" t="s">
        <v>41</v>
      </c>
      <c r="P24" s="24">
        <v>80</v>
      </c>
      <c r="Q24" s="24">
        <v>66</v>
      </c>
      <c r="R24" s="24"/>
      <c r="S24" s="24">
        <f t="shared" si="4"/>
        <v>-14</v>
      </c>
      <c r="T24" s="24"/>
      <c r="U24" s="24">
        <f t="shared" si="5"/>
        <v>-3</v>
      </c>
      <c r="V24" s="25" t="s">
        <v>296</v>
      </c>
      <c r="W24" s="25" t="s">
        <v>297</v>
      </c>
    </row>
    <row r="25" ht="16.15" customHeight="1" spans="1:23">
      <c r="A25" s="16">
        <v>26</v>
      </c>
      <c r="B25" s="17" t="s">
        <v>22</v>
      </c>
      <c r="C25" s="16" t="s">
        <v>176</v>
      </c>
      <c r="D25" s="16" t="s">
        <v>298</v>
      </c>
      <c r="E25" s="16" t="s">
        <v>219</v>
      </c>
      <c r="F25" s="16" t="s">
        <v>299</v>
      </c>
      <c r="G25" s="16">
        <v>70</v>
      </c>
      <c r="H25" s="29" t="s">
        <v>300</v>
      </c>
      <c r="I25" s="8"/>
      <c r="J25" s="3" t="e">
        <f t="shared" si="3"/>
        <v>#VALUE!</v>
      </c>
      <c r="M25" s="22" t="s">
        <v>35</v>
      </c>
      <c r="N25" s="26"/>
      <c r="O25" s="23" t="s">
        <v>41</v>
      </c>
      <c r="P25" s="24">
        <v>70</v>
      </c>
      <c r="Q25" s="24">
        <v>70</v>
      </c>
      <c r="R25" s="24"/>
      <c r="S25" s="24">
        <f t="shared" si="4"/>
        <v>0</v>
      </c>
      <c r="T25" s="24"/>
      <c r="U25" s="24" t="e">
        <f t="shared" si="5"/>
        <v>#VALUE!</v>
      </c>
      <c r="V25" s="25" t="s">
        <v>301</v>
      </c>
      <c r="W25" s="25" t="s">
        <v>302</v>
      </c>
    </row>
    <row r="26" ht="16.15" customHeight="1" spans="1:23">
      <c r="A26" s="16">
        <v>27</v>
      </c>
      <c r="B26" s="17" t="s">
        <v>22</v>
      </c>
      <c r="C26" s="16" t="s">
        <v>176</v>
      </c>
      <c r="D26" s="16" t="s">
        <v>303</v>
      </c>
      <c r="E26" s="16" t="s">
        <v>174</v>
      </c>
      <c r="F26" s="16" t="s">
        <v>304</v>
      </c>
      <c r="G26" s="16">
        <v>80</v>
      </c>
      <c r="H26" s="7">
        <v>88</v>
      </c>
      <c r="I26" s="8"/>
      <c r="J26" s="3">
        <f t="shared" si="3"/>
        <v>-8</v>
      </c>
      <c r="K26" s="28" t="s">
        <v>305</v>
      </c>
      <c r="L26" s="21" t="s">
        <v>29</v>
      </c>
      <c r="M26" s="22">
        <v>66</v>
      </c>
      <c r="N26" s="22"/>
      <c r="O26" s="23" t="s">
        <v>30</v>
      </c>
      <c r="P26" s="24">
        <v>85</v>
      </c>
      <c r="Q26" s="24">
        <v>88</v>
      </c>
      <c r="R26" s="24"/>
      <c r="S26" s="24">
        <f t="shared" si="4"/>
        <v>3</v>
      </c>
      <c r="T26" s="24"/>
      <c r="U26" s="24">
        <f t="shared" si="5"/>
        <v>0</v>
      </c>
      <c r="V26" s="25" t="s">
        <v>306</v>
      </c>
      <c r="W26" s="25" t="s">
        <v>307</v>
      </c>
    </row>
    <row r="27" ht="16.15" customHeight="1" spans="1:23">
      <c r="A27" s="16">
        <v>28</v>
      </c>
      <c r="B27" s="17" t="s">
        <v>22</v>
      </c>
      <c r="C27" s="16" t="s">
        <v>176</v>
      </c>
      <c r="D27" s="16" t="s">
        <v>308</v>
      </c>
      <c r="E27" s="16" t="s">
        <v>25</v>
      </c>
      <c r="F27" s="16" t="s">
        <v>152</v>
      </c>
      <c r="G27" s="16">
        <v>90</v>
      </c>
      <c r="H27" s="7">
        <v>97</v>
      </c>
      <c r="I27" s="8"/>
      <c r="J27" s="3">
        <f t="shared" si="3"/>
        <v>-7</v>
      </c>
      <c r="K27" s="21" t="s">
        <v>272</v>
      </c>
      <c r="L27" s="21" t="s">
        <v>29</v>
      </c>
      <c r="M27" s="22">
        <v>87</v>
      </c>
      <c r="N27" s="22" t="s">
        <v>30</v>
      </c>
      <c r="O27" s="23" t="s">
        <v>30</v>
      </c>
      <c r="P27" s="24">
        <v>95</v>
      </c>
      <c r="Q27" s="24">
        <v>90</v>
      </c>
      <c r="R27" s="24"/>
      <c r="S27" s="24">
        <f t="shared" si="4"/>
        <v>-5</v>
      </c>
      <c r="T27" s="24"/>
      <c r="U27" s="24">
        <f t="shared" si="5"/>
        <v>-7</v>
      </c>
      <c r="V27" s="25" t="s">
        <v>309</v>
      </c>
      <c r="W27" s="25" t="s">
        <v>310</v>
      </c>
    </row>
    <row r="28" ht="18" spans="1:23">
      <c r="A28" s="16">
        <v>29</v>
      </c>
      <c r="B28" s="17" t="s">
        <v>22</v>
      </c>
      <c r="C28" s="16" t="s">
        <v>176</v>
      </c>
      <c r="D28" s="17" t="s">
        <v>311</v>
      </c>
      <c r="E28" s="16" t="s">
        <v>174</v>
      </c>
      <c r="F28" s="17" t="s">
        <v>312</v>
      </c>
      <c r="G28" s="17">
        <v>75</v>
      </c>
      <c r="H28" s="7">
        <v>75</v>
      </c>
      <c r="I28" s="8"/>
      <c r="J28" s="3">
        <f t="shared" si="3"/>
        <v>0</v>
      </c>
      <c r="K28" s="21" t="s">
        <v>272</v>
      </c>
      <c r="L28" s="21" t="s">
        <v>200</v>
      </c>
      <c r="M28" s="22">
        <v>68</v>
      </c>
      <c r="N28" s="22"/>
      <c r="O28" s="23" t="s">
        <v>30</v>
      </c>
      <c r="P28" s="24">
        <v>80</v>
      </c>
      <c r="Q28" s="24">
        <v>85</v>
      </c>
      <c r="R28" s="24"/>
      <c r="S28" s="24">
        <f t="shared" si="4"/>
        <v>5</v>
      </c>
      <c r="T28" s="24"/>
      <c r="U28" s="24">
        <f t="shared" si="5"/>
        <v>10</v>
      </c>
      <c r="V28" s="24"/>
      <c r="W28" s="24"/>
    </row>
    <row r="29" ht="18" spans="1:23">
      <c r="A29" s="16">
        <v>30</v>
      </c>
      <c r="B29" s="17" t="s">
        <v>22</v>
      </c>
      <c r="C29" s="16" t="s">
        <v>176</v>
      </c>
      <c r="D29" s="17" t="s">
        <v>313</v>
      </c>
      <c r="E29" s="16" t="s">
        <v>174</v>
      </c>
      <c r="F29" s="16"/>
      <c r="G29" s="16"/>
      <c r="H29" s="7"/>
      <c r="I29" s="8"/>
      <c r="K29" s="21"/>
      <c r="L29" s="21"/>
      <c r="M29" s="26">
        <v>70</v>
      </c>
      <c r="N29" s="22"/>
      <c r="O29" s="23" t="s">
        <v>30</v>
      </c>
      <c r="P29" s="24">
        <v>85</v>
      </c>
      <c r="Q29" s="24">
        <v>89</v>
      </c>
      <c r="R29" s="24"/>
      <c r="S29" s="24">
        <f t="shared" si="4"/>
        <v>4</v>
      </c>
      <c r="T29" s="24"/>
      <c r="U29" s="24">
        <f t="shared" si="5"/>
        <v>89</v>
      </c>
      <c r="V29" s="25" t="s">
        <v>314</v>
      </c>
      <c r="W29" s="25" t="s">
        <v>315</v>
      </c>
    </row>
    <row r="30" ht="18" spans="1:23">
      <c r="A30" s="16">
        <v>31</v>
      </c>
      <c r="B30" s="17" t="s">
        <v>22</v>
      </c>
      <c r="C30" s="16" t="s">
        <v>176</v>
      </c>
      <c r="D30" s="17" t="s">
        <v>316</v>
      </c>
      <c r="E30" s="17" t="s">
        <v>25</v>
      </c>
      <c r="F30" s="16"/>
      <c r="G30" s="16"/>
      <c r="H30" s="7"/>
      <c r="I30" s="8"/>
      <c r="K30" s="21"/>
      <c r="L30" s="21"/>
      <c r="M30" s="26">
        <v>78</v>
      </c>
      <c r="N30" s="22"/>
      <c r="O30" s="23" t="s">
        <v>30</v>
      </c>
      <c r="P30" s="24">
        <v>80</v>
      </c>
      <c r="Q30" s="24">
        <v>82</v>
      </c>
      <c r="R30" s="24"/>
      <c r="S30" s="24">
        <f t="shared" si="4"/>
        <v>2</v>
      </c>
      <c r="T30" s="24"/>
      <c r="U30" s="24">
        <f t="shared" si="5"/>
        <v>82</v>
      </c>
      <c r="V30" s="25" t="s">
        <v>317</v>
      </c>
      <c r="W30" s="25" t="s">
        <v>318</v>
      </c>
    </row>
    <row r="31" ht="18" spans="1:23">
      <c r="A31" s="16">
        <v>32</v>
      </c>
      <c r="B31" s="17" t="s">
        <v>22</v>
      </c>
      <c r="C31" s="16" t="s">
        <v>191</v>
      </c>
      <c r="D31" s="16" t="s">
        <v>319</v>
      </c>
      <c r="E31" s="16" t="s">
        <v>174</v>
      </c>
      <c r="F31" s="16"/>
      <c r="G31" s="16"/>
      <c r="H31" s="7">
        <v>78</v>
      </c>
      <c r="I31" s="8"/>
      <c r="J31" s="3">
        <f t="shared" ref="J31:J39" si="6">G31-H31</f>
        <v>-78</v>
      </c>
      <c r="K31" s="21" t="s">
        <v>320</v>
      </c>
      <c r="L31" s="21" t="s">
        <v>29</v>
      </c>
      <c r="M31" s="26">
        <v>83</v>
      </c>
      <c r="N31" s="22" t="s">
        <v>30</v>
      </c>
      <c r="O31" s="23" t="s">
        <v>30</v>
      </c>
      <c r="P31" s="24">
        <v>85</v>
      </c>
      <c r="Q31" s="24">
        <v>91</v>
      </c>
      <c r="R31" s="24"/>
      <c r="S31" s="24">
        <f t="shared" si="4"/>
        <v>6</v>
      </c>
      <c r="T31" s="24" t="s">
        <v>321</v>
      </c>
      <c r="U31" s="24">
        <f t="shared" si="5"/>
        <v>13</v>
      </c>
      <c r="V31" s="24" t="s">
        <v>322</v>
      </c>
      <c r="W31" s="24" t="s">
        <v>323</v>
      </c>
    </row>
    <row r="32" ht="18" spans="1:23">
      <c r="A32" s="16">
        <v>33</v>
      </c>
      <c r="B32" s="17" t="s">
        <v>22</v>
      </c>
      <c r="C32" s="16" t="s">
        <v>191</v>
      </c>
      <c r="D32" s="16" t="s">
        <v>324</v>
      </c>
      <c r="E32" s="16" t="s">
        <v>25</v>
      </c>
      <c r="F32" s="16" t="s">
        <v>210</v>
      </c>
      <c r="G32" s="16">
        <v>70</v>
      </c>
      <c r="H32" s="7">
        <v>70</v>
      </c>
      <c r="I32" s="8"/>
      <c r="J32" s="3">
        <f t="shared" si="6"/>
        <v>0</v>
      </c>
      <c r="K32" s="21" t="s">
        <v>272</v>
      </c>
      <c r="L32" s="21" t="s">
        <v>29</v>
      </c>
      <c r="M32" s="22" t="s">
        <v>325</v>
      </c>
      <c r="N32" s="26"/>
      <c r="O32" s="27"/>
      <c r="P32" s="24">
        <v>60</v>
      </c>
      <c r="Q32" s="24"/>
      <c r="R32" s="24"/>
      <c r="S32" s="24">
        <f t="shared" ref="S32:S72" si="7">Q32-P32</f>
        <v>-60</v>
      </c>
      <c r="T32" s="24"/>
      <c r="U32" s="24">
        <f t="shared" ref="U32:U61" si="8">Q32-H32</f>
        <v>-70</v>
      </c>
      <c r="V32" s="24"/>
      <c r="W32" s="24"/>
    </row>
    <row r="33" ht="18" spans="1:23">
      <c r="A33" s="16">
        <v>34</v>
      </c>
      <c r="B33" s="17" t="s">
        <v>22</v>
      </c>
      <c r="C33" s="16" t="s">
        <v>191</v>
      </c>
      <c r="D33" s="16" t="s">
        <v>326</v>
      </c>
      <c r="E33" s="16" t="s">
        <v>219</v>
      </c>
      <c r="F33" s="16" t="s">
        <v>327</v>
      </c>
      <c r="G33" s="16">
        <v>90</v>
      </c>
      <c r="H33" s="7">
        <v>89</v>
      </c>
      <c r="I33" s="8"/>
      <c r="J33" s="3">
        <f t="shared" si="6"/>
        <v>1</v>
      </c>
      <c r="K33" s="21" t="s">
        <v>328</v>
      </c>
      <c r="L33" s="21" t="s">
        <v>29</v>
      </c>
      <c r="M33" s="22" t="s">
        <v>329</v>
      </c>
      <c r="N33" s="26"/>
      <c r="O33" s="27"/>
      <c r="P33" s="24">
        <v>85</v>
      </c>
      <c r="Q33" s="24"/>
      <c r="R33" s="24"/>
      <c r="S33" s="24">
        <f t="shared" si="7"/>
        <v>-85</v>
      </c>
      <c r="T33" s="24"/>
      <c r="U33" s="24">
        <f t="shared" si="8"/>
        <v>-89</v>
      </c>
      <c r="V33" s="24"/>
      <c r="W33" s="24"/>
    </row>
    <row r="34" ht="18" spans="1:23">
      <c r="A34" s="16">
        <v>35</v>
      </c>
      <c r="B34" s="17" t="s">
        <v>22</v>
      </c>
      <c r="C34" s="16" t="s">
        <v>191</v>
      </c>
      <c r="D34" s="16" t="s">
        <v>330</v>
      </c>
      <c r="E34" s="16" t="s">
        <v>25</v>
      </c>
      <c r="F34" s="16">
        <v>65</v>
      </c>
      <c r="G34" s="16">
        <v>70</v>
      </c>
      <c r="H34" s="30">
        <v>80</v>
      </c>
      <c r="I34" s="31"/>
      <c r="J34" s="3">
        <f t="shared" si="6"/>
        <v>-10</v>
      </c>
      <c r="K34" s="21" t="s">
        <v>320</v>
      </c>
      <c r="L34" s="21" t="s">
        <v>29</v>
      </c>
      <c r="M34" s="22" t="s">
        <v>329</v>
      </c>
      <c r="N34" s="26"/>
      <c r="O34" s="27"/>
      <c r="P34" s="24">
        <v>80</v>
      </c>
      <c r="Q34" s="24"/>
      <c r="R34" s="24"/>
      <c r="S34" s="24">
        <f t="shared" si="7"/>
        <v>-80</v>
      </c>
      <c r="T34" s="24"/>
      <c r="U34" s="24">
        <f t="shared" si="8"/>
        <v>-80</v>
      </c>
      <c r="V34" s="24"/>
      <c r="W34" s="24"/>
    </row>
    <row r="35" ht="18" spans="1:23">
      <c r="A35" s="16">
        <v>36</v>
      </c>
      <c r="B35" s="17" t="s">
        <v>22</v>
      </c>
      <c r="C35" s="16" t="s">
        <v>191</v>
      </c>
      <c r="D35" s="16" t="s">
        <v>331</v>
      </c>
      <c r="E35" s="16" t="s">
        <v>219</v>
      </c>
      <c r="F35" s="16">
        <v>60</v>
      </c>
      <c r="G35" s="16">
        <v>65</v>
      </c>
      <c r="H35" s="32">
        <v>71</v>
      </c>
      <c r="I35" s="33"/>
      <c r="J35" s="3">
        <f t="shared" si="6"/>
        <v>-6</v>
      </c>
      <c r="K35" s="21" t="s">
        <v>320</v>
      </c>
      <c r="L35" s="21" t="s">
        <v>29</v>
      </c>
      <c r="M35" s="26">
        <v>67</v>
      </c>
      <c r="N35" s="22" t="s">
        <v>30</v>
      </c>
      <c r="O35" s="23" t="s">
        <v>30</v>
      </c>
      <c r="P35" s="24">
        <v>60</v>
      </c>
      <c r="Q35" s="24">
        <v>66</v>
      </c>
      <c r="R35" s="24"/>
      <c r="S35" s="24">
        <f t="shared" si="7"/>
        <v>6</v>
      </c>
      <c r="T35" s="24"/>
      <c r="U35" s="24">
        <f t="shared" si="8"/>
        <v>-5</v>
      </c>
      <c r="V35" s="25" t="s">
        <v>332</v>
      </c>
      <c r="W35" s="25" t="s">
        <v>333</v>
      </c>
    </row>
    <row r="36" ht="18" spans="1:23">
      <c r="A36" s="16">
        <v>37</v>
      </c>
      <c r="B36" s="17" t="s">
        <v>22</v>
      </c>
      <c r="C36" s="16" t="s">
        <v>191</v>
      </c>
      <c r="D36" s="16" t="s">
        <v>334</v>
      </c>
      <c r="E36" s="16" t="s">
        <v>25</v>
      </c>
      <c r="F36" s="16">
        <v>79</v>
      </c>
      <c r="G36" s="16">
        <v>85</v>
      </c>
      <c r="H36" s="32">
        <v>91</v>
      </c>
      <c r="I36" s="33"/>
      <c r="J36" s="3">
        <f t="shared" si="6"/>
        <v>-6</v>
      </c>
      <c r="K36" s="21" t="s">
        <v>320</v>
      </c>
      <c r="L36" s="21" t="s">
        <v>29</v>
      </c>
      <c r="M36" s="26">
        <v>98</v>
      </c>
      <c r="N36" s="22" t="s">
        <v>30</v>
      </c>
      <c r="O36" s="23" t="s">
        <v>30</v>
      </c>
      <c r="P36" s="24">
        <v>90</v>
      </c>
      <c r="Q36" s="24">
        <v>95</v>
      </c>
      <c r="R36" s="24"/>
      <c r="S36" s="24">
        <f t="shared" si="7"/>
        <v>5</v>
      </c>
      <c r="T36" s="25" t="s">
        <v>321</v>
      </c>
      <c r="U36" s="24">
        <f t="shared" si="8"/>
        <v>4</v>
      </c>
      <c r="V36" s="25" t="s">
        <v>335</v>
      </c>
      <c r="W36" s="25" t="s">
        <v>336</v>
      </c>
    </row>
    <row r="37" ht="18" spans="1:23">
      <c r="A37" s="16">
        <v>38</v>
      </c>
      <c r="B37" s="17" t="s">
        <v>22</v>
      </c>
      <c r="C37" s="16" t="s">
        <v>191</v>
      </c>
      <c r="D37" s="16" t="s">
        <v>337</v>
      </c>
      <c r="E37" s="16" t="s">
        <v>174</v>
      </c>
      <c r="F37" s="16">
        <v>77</v>
      </c>
      <c r="G37" s="16">
        <v>80</v>
      </c>
      <c r="H37" s="32">
        <v>81</v>
      </c>
      <c r="I37" s="33"/>
      <c r="J37" s="3">
        <f t="shared" si="6"/>
        <v>-1</v>
      </c>
      <c r="K37" s="21" t="s">
        <v>320</v>
      </c>
      <c r="L37" s="21" t="s">
        <v>29</v>
      </c>
      <c r="M37" s="26">
        <v>64</v>
      </c>
      <c r="N37" s="22" t="s">
        <v>41</v>
      </c>
      <c r="O37" s="23" t="s">
        <v>30</v>
      </c>
      <c r="P37" s="24">
        <v>80</v>
      </c>
      <c r="Q37" s="24">
        <v>85</v>
      </c>
      <c r="R37" s="24"/>
      <c r="S37" s="24">
        <f t="shared" si="7"/>
        <v>5</v>
      </c>
      <c r="T37" s="24" t="s">
        <v>321</v>
      </c>
      <c r="U37" s="24">
        <f t="shared" si="8"/>
        <v>4</v>
      </c>
      <c r="V37" s="24" t="s">
        <v>338</v>
      </c>
      <c r="W37" s="24" t="s">
        <v>339</v>
      </c>
    </row>
    <row r="38" ht="18" spans="1:23">
      <c r="A38" s="16">
        <v>39</v>
      </c>
      <c r="B38" s="17" t="s">
        <v>22</v>
      </c>
      <c r="C38" s="17" t="s">
        <v>191</v>
      </c>
      <c r="D38" s="17" t="s">
        <v>340</v>
      </c>
      <c r="E38" s="17" t="s">
        <v>25</v>
      </c>
      <c r="F38" s="16">
        <v>91</v>
      </c>
      <c r="G38" s="16"/>
      <c r="H38" s="34">
        <v>91</v>
      </c>
      <c r="I38" s="35"/>
      <c r="J38" s="3">
        <f t="shared" si="6"/>
        <v>-91</v>
      </c>
      <c r="K38" s="21" t="s">
        <v>320</v>
      </c>
      <c r="L38" s="21" t="s">
        <v>29</v>
      </c>
      <c r="M38" s="26">
        <v>69</v>
      </c>
      <c r="N38" s="22" t="s">
        <v>41</v>
      </c>
      <c r="O38" s="23" t="s">
        <v>30</v>
      </c>
      <c r="P38" s="24">
        <v>85</v>
      </c>
      <c r="Q38" s="24">
        <v>79</v>
      </c>
      <c r="R38" s="24"/>
      <c r="S38" s="24">
        <f t="shared" si="7"/>
        <v>-6</v>
      </c>
      <c r="T38" s="24" t="s">
        <v>341</v>
      </c>
      <c r="U38" s="24">
        <f t="shared" si="8"/>
        <v>-12</v>
      </c>
      <c r="V38" s="24"/>
      <c r="W38" s="24"/>
    </row>
    <row r="39" ht="18" spans="1:23">
      <c r="A39" s="16">
        <v>40</v>
      </c>
      <c r="B39" s="17" t="s">
        <v>22</v>
      </c>
      <c r="C39" s="16" t="s">
        <v>191</v>
      </c>
      <c r="D39" s="16" t="s">
        <v>342</v>
      </c>
      <c r="E39" s="16" t="s">
        <v>174</v>
      </c>
      <c r="F39" s="16">
        <v>82</v>
      </c>
      <c r="G39" s="16">
        <v>85</v>
      </c>
      <c r="H39" s="34">
        <v>82</v>
      </c>
      <c r="I39" s="35"/>
      <c r="J39" s="3">
        <f t="shared" si="6"/>
        <v>3</v>
      </c>
      <c r="K39" s="21" t="s">
        <v>343</v>
      </c>
      <c r="L39" s="21" t="s">
        <v>29</v>
      </c>
      <c r="M39" s="22" t="s">
        <v>329</v>
      </c>
      <c r="N39" s="26"/>
      <c r="O39" s="27"/>
      <c r="P39" s="24">
        <v>85</v>
      </c>
      <c r="Q39" s="24">
        <v>85</v>
      </c>
      <c r="R39" s="24"/>
      <c r="S39" s="24">
        <f t="shared" si="7"/>
        <v>0</v>
      </c>
      <c r="T39" s="24" t="s">
        <v>321</v>
      </c>
      <c r="U39" s="24">
        <f t="shared" si="8"/>
        <v>3</v>
      </c>
      <c r="V39" s="24" t="s">
        <v>344</v>
      </c>
      <c r="W39" s="24" t="s">
        <v>345</v>
      </c>
    </row>
    <row r="40" ht="18" spans="1:23">
      <c r="A40" s="16">
        <v>41</v>
      </c>
      <c r="B40" s="17" t="s">
        <v>22</v>
      </c>
      <c r="C40" s="16" t="s">
        <v>346</v>
      </c>
      <c r="D40" s="16" t="s">
        <v>347</v>
      </c>
      <c r="E40" s="16" t="s">
        <v>25</v>
      </c>
      <c r="F40" s="16">
        <v>77</v>
      </c>
      <c r="G40" s="16">
        <v>80</v>
      </c>
      <c r="H40" s="7">
        <v>88</v>
      </c>
      <c r="I40" s="8"/>
      <c r="J40" s="3">
        <f t="shared" ref="J40:J55" si="9">G40-H40</f>
        <v>-8</v>
      </c>
      <c r="K40" s="3" t="s">
        <v>272</v>
      </c>
      <c r="L40" s="3" t="s">
        <v>36</v>
      </c>
      <c r="M40" s="22" t="s">
        <v>35</v>
      </c>
      <c r="N40" s="26"/>
      <c r="O40" s="27"/>
      <c r="P40" s="24">
        <v>85</v>
      </c>
      <c r="Q40" s="24">
        <v>82</v>
      </c>
      <c r="R40" s="24"/>
      <c r="S40" s="24">
        <f t="shared" si="7"/>
        <v>-3</v>
      </c>
      <c r="T40" s="24"/>
      <c r="U40" s="24">
        <f t="shared" si="8"/>
        <v>-6</v>
      </c>
      <c r="V40" s="25" t="s">
        <v>348</v>
      </c>
      <c r="W40" s="25" t="s">
        <v>349</v>
      </c>
    </row>
    <row r="41" ht="18" spans="1:23">
      <c r="A41" s="16">
        <v>42</v>
      </c>
      <c r="B41" s="17" t="s">
        <v>22</v>
      </c>
      <c r="C41" s="16" t="s">
        <v>346</v>
      </c>
      <c r="D41" s="16" t="s">
        <v>350</v>
      </c>
      <c r="E41" s="16" t="s">
        <v>219</v>
      </c>
      <c r="F41" s="16" t="s">
        <v>351</v>
      </c>
      <c r="G41" s="16">
        <v>95</v>
      </c>
      <c r="H41" s="7" t="s">
        <v>352</v>
      </c>
      <c r="I41" s="8"/>
      <c r="J41" s="3" t="e">
        <f t="shared" si="9"/>
        <v>#VALUE!</v>
      </c>
      <c r="K41" s="3" t="s">
        <v>353</v>
      </c>
      <c r="M41" s="26">
        <v>92</v>
      </c>
      <c r="N41" s="26"/>
      <c r="O41" s="23" t="s">
        <v>30</v>
      </c>
      <c r="P41" s="24">
        <v>85</v>
      </c>
      <c r="Q41" s="24">
        <v>77</v>
      </c>
      <c r="R41" s="24"/>
      <c r="S41" s="24">
        <f t="shared" si="7"/>
        <v>-8</v>
      </c>
      <c r="T41" s="24"/>
      <c r="U41" s="24" t="e">
        <f t="shared" si="8"/>
        <v>#VALUE!</v>
      </c>
      <c r="V41" s="25" t="s">
        <v>354</v>
      </c>
      <c r="W41" s="25" t="s">
        <v>355</v>
      </c>
    </row>
    <row r="42" ht="18" spans="1:23">
      <c r="A42" s="16">
        <v>43</v>
      </c>
      <c r="B42" s="17" t="s">
        <v>22</v>
      </c>
      <c r="C42" s="16" t="s">
        <v>346</v>
      </c>
      <c r="D42" s="16" t="s">
        <v>140</v>
      </c>
      <c r="E42" s="16" t="s">
        <v>25</v>
      </c>
      <c r="F42" s="16">
        <v>59</v>
      </c>
      <c r="G42" s="16">
        <v>70</v>
      </c>
      <c r="H42" s="7">
        <v>89</v>
      </c>
      <c r="I42" s="8"/>
      <c r="J42" s="3">
        <f t="shared" si="9"/>
        <v>-19</v>
      </c>
      <c r="K42" s="3" t="s">
        <v>272</v>
      </c>
      <c r="L42" s="3" t="s">
        <v>29</v>
      </c>
      <c r="M42" s="22" t="s">
        <v>35</v>
      </c>
      <c r="N42" s="26"/>
      <c r="O42" s="27"/>
      <c r="P42" s="24">
        <v>80</v>
      </c>
      <c r="Q42" s="24">
        <v>75</v>
      </c>
      <c r="R42" s="24"/>
      <c r="S42" s="24">
        <f t="shared" si="7"/>
        <v>-5</v>
      </c>
      <c r="T42" s="24"/>
      <c r="U42" s="24">
        <f t="shared" si="8"/>
        <v>-14</v>
      </c>
      <c r="V42" s="25" t="s">
        <v>356</v>
      </c>
      <c r="W42" s="25" t="s">
        <v>357</v>
      </c>
    </row>
    <row r="43" ht="18" spans="1:23">
      <c r="A43" s="16">
        <v>44</v>
      </c>
      <c r="B43" s="17" t="s">
        <v>22</v>
      </c>
      <c r="C43" s="16" t="s">
        <v>346</v>
      </c>
      <c r="D43" s="16" t="s">
        <v>358</v>
      </c>
      <c r="E43" s="16" t="s">
        <v>25</v>
      </c>
      <c r="F43" s="16">
        <v>85</v>
      </c>
      <c r="G43" s="16">
        <v>88</v>
      </c>
      <c r="H43" s="7">
        <v>85</v>
      </c>
      <c r="I43" s="8"/>
      <c r="J43" s="3">
        <f t="shared" si="9"/>
        <v>3</v>
      </c>
      <c r="K43" s="3" t="s">
        <v>272</v>
      </c>
      <c r="L43" s="3" t="s">
        <v>36</v>
      </c>
      <c r="M43" s="26">
        <v>87</v>
      </c>
      <c r="N43" s="22" t="s">
        <v>30</v>
      </c>
      <c r="O43" s="23" t="s">
        <v>30</v>
      </c>
      <c r="P43" s="24">
        <v>80</v>
      </c>
      <c r="Q43" s="24">
        <v>80</v>
      </c>
      <c r="R43" s="24"/>
      <c r="S43" s="24">
        <f t="shared" si="7"/>
        <v>0</v>
      </c>
      <c r="T43" s="24"/>
      <c r="U43" s="24">
        <f t="shared" si="8"/>
        <v>-5</v>
      </c>
      <c r="V43" s="25" t="s">
        <v>359</v>
      </c>
      <c r="W43" s="25" t="s">
        <v>360</v>
      </c>
    </row>
    <row r="44" ht="18" spans="1:23">
      <c r="A44" s="16">
        <v>45</v>
      </c>
      <c r="B44" s="17" t="s">
        <v>22</v>
      </c>
      <c r="C44" s="16" t="s">
        <v>346</v>
      </c>
      <c r="D44" s="16" t="s">
        <v>361</v>
      </c>
      <c r="E44" s="16" t="s">
        <v>174</v>
      </c>
      <c r="F44" s="16">
        <v>89</v>
      </c>
      <c r="G44" s="16">
        <v>90</v>
      </c>
      <c r="H44" s="7">
        <v>93</v>
      </c>
      <c r="I44" s="8"/>
      <c r="J44" s="3">
        <f t="shared" si="9"/>
        <v>-3</v>
      </c>
      <c r="K44" s="3" t="s">
        <v>272</v>
      </c>
      <c r="L44" s="3" t="s">
        <v>36</v>
      </c>
      <c r="M44" s="22" t="s">
        <v>362</v>
      </c>
      <c r="N44" s="26"/>
      <c r="O44" s="27"/>
      <c r="P44" s="24"/>
      <c r="Q44" s="24"/>
      <c r="R44" s="24"/>
      <c r="S44" s="24">
        <f t="shared" si="7"/>
        <v>0</v>
      </c>
      <c r="T44" s="24"/>
      <c r="U44" s="24">
        <f t="shared" si="8"/>
        <v>-93</v>
      </c>
      <c r="V44" s="24"/>
      <c r="W44" s="24"/>
    </row>
    <row r="45" ht="18" spans="1:23">
      <c r="A45" s="16">
        <v>46</v>
      </c>
      <c r="B45" s="17" t="s">
        <v>22</v>
      </c>
      <c r="C45" s="16" t="s">
        <v>346</v>
      </c>
      <c r="D45" s="16" t="s">
        <v>363</v>
      </c>
      <c r="E45" s="16" t="s">
        <v>174</v>
      </c>
      <c r="F45" s="16">
        <v>92</v>
      </c>
      <c r="G45" s="16">
        <v>94</v>
      </c>
      <c r="H45" s="7">
        <v>98</v>
      </c>
      <c r="I45" s="8"/>
      <c r="J45" s="3">
        <f t="shared" si="9"/>
        <v>-4</v>
      </c>
      <c r="K45" s="3" t="s">
        <v>272</v>
      </c>
      <c r="L45" s="3" t="s">
        <v>29</v>
      </c>
      <c r="M45" s="22" t="s">
        <v>85</v>
      </c>
      <c r="N45" s="26"/>
      <c r="O45" s="27"/>
      <c r="P45" s="24"/>
      <c r="Q45" s="24"/>
      <c r="R45" s="24"/>
      <c r="S45" s="24">
        <f t="shared" si="7"/>
        <v>0</v>
      </c>
      <c r="T45" s="24"/>
      <c r="U45" s="24">
        <f t="shared" si="8"/>
        <v>-98</v>
      </c>
      <c r="V45" s="24"/>
      <c r="W45" s="24"/>
    </row>
    <row r="46" ht="18" spans="1:23">
      <c r="A46" s="16">
        <v>47</v>
      </c>
      <c r="B46" s="17" t="s">
        <v>22</v>
      </c>
      <c r="C46" s="16" t="s">
        <v>55</v>
      </c>
      <c r="D46" s="16" t="s">
        <v>364</v>
      </c>
      <c r="E46" s="16" t="s">
        <v>25</v>
      </c>
      <c r="F46" s="16">
        <v>80</v>
      </c>
      <c r="G46" s="16">
        <v>90</v>
      </c>
      <c r="H46" s="7">
        <v>86</v>
      </c>
      <c r="I46" s="8"/>
      <c r="J46" s="3">
        <f t="shared" si="9"/>
        <v>4</v>
      </c>
      <c r="M46" s="26" t="s">
        <v>35</v>
      </c>
      <c r="N46" s="26"/>
      <c r="O46" s="27"/>
      <c r="P46" s="24">
        <v>85</v>
      </c>
      <c r="Q46" s="24">
        <v>86</v>
      </c>
      <c r="R46" s="24"/>
      <c r="S46" s="24">
        <f t="shared" si="7"/>
        <v>1</v>
      </c>
      <c r="T46" s="24" t="s">
        <v>321</v>
      </c>
      <c r="U46" s="24">
        <f t="shared" si="8"/>
        <v>0</v>
      </c>
      <c r="V46" s="24" t="s">
        <v>365</v>
      </c>
      <c r="W46" s="24" t="s">
        <v>366</v>
      </c>
    </row>
    <row r="47" ht="18" spans="1:23">
      <c r="A47" s="16">
        <v>48</v>
      </c>
      <c r="B47" s="17" t="s">
        <v>22</v>
      </c>
      <c r="C47" s="16" t="s">
        <v>55</v>
      </c>
      <c r="D47" s="16" t="s">
        <v>367</v>
      </c>
      <c r="E47" s="16" t="s">
        <v>25</v>
      </c>
      <c r="F47" s="16">
        <v>91</v>
      </c>
      <c r="G47" s="16">
        <v>92</v>
      </c>
      <c r="H47" s="7">
        <v>96</v>
      </c>
      <c r="I47" s="8"/>
      <c r="J47" s="3">
        <f t="shared" si="9"/>
        <v>-4</v>
      </c>
      <c r="M47" s="26">
        <v>84</v>
      </c>
      <c r="N47" s="22" t="s">
        <v>30</v>
      </c>
      <c r="O47" s="23" t="s">
        <v>30</v>
      </c>
      <c r="P47" s="24">
        <v>90</v>
      </c>
      <c r="Q47" s="24">
        <v>94</v>
      </c>
      <c r="R47" s="24"/>
      <c r="S47" s="24">
        <f t="shared" si="7"/>
        <v>4</v>
      </c>
      <c r="T47" s="24" t="s">
        <v>321</v>
      </c>
      <c r="U47" s="24">
        <f t="shared" si="8"/>
        <v>-2</v>
      </c>
      <c r="V47" s="24" t="s">
        <v>368</v>
      </c>
      <c r="W47" s="24" t="s">
        <v>369</v>
      </c>
    </row>
    <row r="48" ht="18" spans="1:23">
      <c r="A48" s="16">
        <v>49</v>
      </c>
      <c r="B48" s="17" t="s">
        <v>22</v>
      </c>
      <c r="C48" s="16" t="s">
        <v>55</v>
      </c>
      <c r="D48" s="16" t="s">
        <v>370</v>
      </c>
      <c r="E48" s="16" t="s">
        <v>25</v>
      </c>
      <c r="F48" s="16" t="s">
        <v>35</v>
      </c>
      <c r="G48" s="16">
        <v>85</v>
      </c>
      <c r="H48" s="7">
        <v>83</v>
      </c>
      <c r="I48" s="8"/>
      <c r="J48" s="3">
        <f t="shared" si="9"/>
        <v>2</v>
      </c>
      <c r="M48" s="26" t="s">
        <v>35</v>
      </c>
      <c r="N48" s="26"/>
      <c r="O48" s="27"/>
      <c r="P48" s="24"/>
      <c r="Q48" s="24" t="s">
        <v>300</v>
      </c>
      <c r="R48" s="24"/>
      <c r="S48" s="24" t="e">
        <f t="shared" si="7"/>
        <v>#VALUE!</v>
      </c>
      <c r="T48" s="24"/>
      <c r="U48" s="24" t="e">
        <f t="shared" si="8"/>
        <v>#VALUE!</v>
      </c>
      <c r="V48" s="24"/>
      <c r="W48" s="24"/>
    </row>
    <row r="49" ht="18" spans="1:23">
      <c r="A49" s="16">
        <v>50</v>
      </c>
      <c r="B49" s="17" t="s">
        <v>22</v>
      </c>
      <c r="C49" s="16" t="s">
        <v>55</v>
      </c>
      <c r="D49" s="16" t="s">
        <v>371</v>
      </c>
      <c r="E49" s="16" t="s">
        <v>219</v>
      </c>
      <c r="F49" s="16" t="s">
        <v>35</v>
      </c>
      <c r="G49" s="16">
        <v>50</v>
      </c>
      <c r="H49" s="7">
        <v>23</v>
      </c>
      <c r="I49" s="8"/>
      <c r="J49" s="3">
        <f t="shared" si="9"/>
        <v>27</v>
      </c>
      <c r="M49" s="26">
        <v>46</v>
      </c>
      <c r="N49" s="22" t="s">
        <v>30</v>
      </c>
      <c r="O49" s="23" t="s">
        <v>30</v>
      </c>
      <c r="P49" s="24">
        <v>50</v>
      </c>
      <c r="Q49" s="24" t="s">
        <v>35</v>
      </c>
      <c r="R49" s="24"/>
      <c r="S49" s="24" t="e">
        <f t="shared" si="7"/>
        <v>#VALUE!</v>
      </c>
      <c r="T49" s="24"/>
      <c r="U49" s="24" t="e">
        <f t="shared" si="8"/>
        <v>#VALUE!</v>
      </c>
      <c r="V49" s="24" t="s">
        <v>372</v>
      </c>
      <c r="W49" s="24" t="s">
        <v>373</v>
      </c>
    </row>
    <row r="50" ht="18" spans="1:23">
      <c r="A50" s="16">
        <v>51</v>
      </c>
      <c r="B50" s="17" t="s">
        <v>22</v>
      </c>
      <c r="C50" s="16" t="s">
        <v>55</v>
      </c>
      <c r="D50" s="16" t="s">
        <v>374</v>
      </c>
      <c r="E50" s="16" t="s">
        <v>25</v>
      </c>
      <c r="F50" s="16">
        <v>90</v>
      </c>
      <c r="G50" s="16">
        <v>90</v>
      </c>
      <c r="H50" s="7">
        <v>84</v>
      </c>
      <c r="I50" s="8"/>
      <c r="J50" s="3">
        <f t="shared" si="9"/>
        <v>6</v>
      </c>
      <c r="M50" s="26" t="s">
        <v>35</v>
      </c>
      <c r="N50" s="26"/>
      <c r="O50" s="27"/>
      <c r="P50" s="24">
        <v>90</v>
      </c>
      <c r="Q50" s="24">
        <v>90</v>
      </c>
      <c r="R50" s="24"/>
      <c r="S50" s="24">
        <f t="shared" si="7"/>
        <v>0</v>
      </c>
      <c r="T50" s="24"/>
      <c r="U50" s="24">
        <f t="shared" si="8"/>
        <v>6</v>
      </c>
      <c r="V50" s="24" t="s">
        <v>375</v>
      </c>
      <c r="W50" s="24" t="s">
        <v>376</v>
      </c>
    </row>
    <row r="51" ht="18" spans="1:23">
      <c r="A51" s="16">
        <v>52</v>
      </c>
      <c r="B51" s="17" t="s">
        <v>22</v>
      </c>
      <c r="C51" s="16" t="s">
        <v>55</v>
      </c>
      <c r="D51" s="16" t="s">
        <v>377</v>
      </c>
      <c r="E51" s="16" t="s">
        <v>219</v>
      </c>
      <c r="F51" s="16">
        <v>85</v>
      </c>
      <c r="G51" s="16">
        <v>94</v>
      </c>
      <c r="H51" s="7">
        <v>94</v>
      </c>
      <c r="I51" s="8"/>
      <c r="J51" s="3">
        <f t="shared" si="9"/>
        <v>0</v>
      </c>
      <c r="M51" s="26">
        <v>95</v>
      </c>
      <c r="N51" s="22" t="s">
        <v>30</v>
      </c>
      <c r="O51" s="23" t="s">
        <v>30</v>
      </c>
      <c r="P51" s="24">
        <v>90</v>
      </c>
      <c r="Q51" s="24">
        <v>89</v>
      </c>
      <c r="R51" s="24"/>
      <c r="S51" s="24">
        <f t="shared" si="7"/>
        <v>-1</v>
      </c>
      <c r="T51" s="24" t="s">
        <v>341</v>
      </c>
      <c r="U51" s="24">
        <f t="shared" si="8"/>
        <v>-5</v>
      </c>
      <c r="V51" s="24" t="s">
        <v>378</v>
      </c>
      <c r="W51" s="24" t="s">
        <v>379</v>
      </c>
    </row>
    <row r="52" ht="18" spans="1:23">
      <c r="A52" s="16">
        <v>53</v>
      </c>
      <c r="B52" s="16" t="s">
        <v>22</v>
      </c>
      <c r="C52" s="16" t="s">
        <v>346</v>
      </c>
      <c r="D52" s="16" t="s">
        <v>380</v>
      </c>
      <c r="E52" s="16" t="s">
        <v>174</v>
      </c>
      <c r="F52" s="16"/>
      <c r="G52" s="16"/>
      <c r="H52" s="7">
        <v>89</v>
      </c>
      <c r="I52" s="8"/>
      <c r="J52" s="3">
        <f t="shared" si="9"/>
        <v>-89</v>
      </c>
      <c r="K52" s="3" t="s">
        <v>272</v>
      </c>
      <c r="L52" s="3" t="s">
        <v>36</v>
      </c>
      <c r="M52" s="22" t="s">
        <v>85</v>
      </c>
      <c r="N52" s="26"/>
      <c r="O52" s="27"/>
      <c r="P52" s="24"/>
      <c r="Q52" s="24"/>
      <c r="R52" s="24"/>
      <c r="S52" s="24">
        <f t="shared" si="7"/>
        <v>0</v>
      </c>
      <c r="T52" s="24"/>
      <c r="U52" s="24">
        <f t="shared" si="8"/>
        <v>-89</v>
      </c>
      <c r="V52" s="24"/>
      <c r="W52" s="24"/>
    </row>
    <row r="53" ht="18" spans="1:23">
      <c r="A53" s="16">
        <v>54</v>
      </c>
      <c r="B53" s="16" t="s">
        <v>22</v>
      </c>
      <c r="C53" s="16" t="s">
        <v>346</v>
      </c>
      <c r="D53" s="16" t="s">
        <v>381</v>
      </c>
      <c r="E53" s="16" t="s">
        <v>25</v>
      </c>
      <c r="F53" s="16"/>
      <c r="G53" s="16"/>
      <c r="H53" s="7">
        <v>68</v>
      </c>
      <c r="I53" s="8"/>
      <c r="J53" s="3">
        <f t="shared" si="9"/>
        <v>-68</v>
      </c>
      <c r="K53" s="3" t="s">
        <v>272</v>
      </c>
      <c r="M53" s="22" t="s">
        <v>35</v>
      </c>
      <c r="N53" s="26"/>
      <c r="O53" s="27"/>
      <c r="P53" s="24"/>
      <c r="Q53" s="24">
        <v>70</v>
      </c>
      <c r="R53" s="24"/>
      <c r="S53" s="24">
        <f t="shared" si="7"/>
        <v>70</v>
      </c>
      <c r="T53" s="24"/>
      <c r="U53" s="24">
        <f t="shared" si="8"/>
        <v>2</v>
      </c>
      <c r="V53" s="25" t="s">
        <v>382</v>
      </c>
      <c r="W53" s="25" t="s">
        <v>383</v>
      </c>
    </row>
    <row r="54" ht="18" spans="1:23">
      <c r="A54" s="16">
        <v>55</v>
      </c>
      <c r="B54" s="16" t="s">
        <v>22</v>
      </c>
      <c r="C54" s="16" t="s">
        <v>346</v>
      </c>
      <c r="D54" s="16" t="s">
        <v>384</v>
      </c>
      <c r="E54" s="16" t="s">
        <v>174</v>
      </c>
      <c r="F54" s="16"/>
      <c r="G54" s="16"/>
      <c r="H54" s="7">
        <v>83</v>
      </c>
      <c r="I54" s="8"/>
      <c r="J54" s="3">
        <f t="shared" si="9"/>
        <v>-83</v>
      </c>
      <c r="K54" s="3" t="s">
        <v>272</v>
      </c>
      <c r="L54" s="3" t="s">
        <v>29</v>
      </c>
      <c r="M54" s="26">
        <v>68</v>
      </c>
      <c r="N54" s="22" t="s">
        <v>41</v>
      </c>
      <c r="O54" s="23" t="s">
        <v>30</v>
      </c>
      <c r="P54" s="24"/>
      <c r="Q54" s="24"/>
      <c r="R54" s="24"/>
      <c r="S54" s="24">
        <f t="shared" si="7"/>
        <v>0</v>
      </c>
      <c r="T54" s="24"/>
      <c r="U54" s="24">
        <f t="shared" si="8"/>
        <v>-83</v>
      </c>
      <c r="V54" s="24"/>
      <c r="W54" s="24"/>
    </row>
    <row r="55" ht="18" spans="1:23">
      <c r="A55" s="16">
        <v>56</v>
      </c>
      <c r="B55" s="16" t="s">
        <v>22</v>
      </c>
      <c r="C55" s="16" t="s">
        <v>267</v>
      </c>
      <c r="D55" s="16" t="s">
        <v>385</v>
      </c>
      <c r="E55" s="16" t="s">
        <v>174</v>
      </c>
      <c r="F55" s="16"/>
      <c r="G55" s="16"/>
      <c r="H55" s="7">
        <v>66</v>
      </c>
      <c r="I55" s="8"/>
      <c r="K55" s="3" t="s">
        <v>272</v>
      </c>
      <c r="L55" s="3" t="s">
        <v>29</v>
      </c>
      <c r="M55" s="26" t="s">
        <v>35</v>
      </c>
      <c r="N55" s="26" t="s">
        <v>41</v>
      </c>
      <c r="O55" s="27"/>
      <c r="P55" s="24"/>
      <c r="Q55" s="24">
        <v>65</v>
      </c>
      <c r="R55" s="24"/>
      <c r="S55" s="24">
        <f t="shared" si="7"/>
        <v>65</v>
      </c>
      <c r="T55" s="24"/>
      <c r="U55" s="24">
        <f t="shared" si="8"/>
        <v>-1</v>
      </c>
      <c r="V55" s="24"/>
      <c r="W55" s="24"/>
    </row>
    <row r="56" ht="18" spans="1:23">
      <c r="A56" s="16">
        <v>57</v>
      </c>
      <c r="B56" s="16" t="s">
        <v>22</v>
      </c>
      <c r="C56" s="16" t="s">
        <v>267</v>
      </c>
      <c r="D56" s="16" t="s">
        <v>386</v>
      </c>
      <c r="E56" s="16" t="s">
        <v>25</v>
      </c>
      <c r="F56" s="16"/>
      <c r="G56" s="16"/>
      <c r="H56" s="7">
        <v>86</v>
      </c>
      <c r="I56" s="8"/>
      <c r="K56" s="3" t="s">
        <v>272</v>
      </c>
      <c r="L56" s="3" t="s">
        <v>89</v>
      </c>
      <c r="M56" s="26">
        <v>87</v>
      </c>
      <c r="N56" s="26"/>
      <c r="O56" s="27" t="s">
        <v>30</v>
      </c>
      <c r="P56" s="24">
        <v>86</v>
      </c>
      <c r="Q56" s="24">
        <v>91</v>
      </c>
      <c r="R56" s="24"/>
      <c r="S56" s="24">
        <f t="shared" si="7"/>
        <v>5</v>
      </c>
      <c r="T56" s="24"/>
      <c r="U56" s="24">
        <f t="shared" si="8"/>
        <v>5</v>
      </c>
      <c r="V56" s="24"/>
      <c r="W56" s="24"/>
    </row>
    <row r="57" ht="18" spans="1:23">
      <c r="A57" s="16">
        <v>58</v>
      </c>
      <c r="B57" s="36" t="s">
        <v>22</v>
      </c>
      <c r="C57" s="36" t="s">
        <v>217</v>
      </c>
      <c r="D57" s="36" t="s">
        <v>387</v>
      </c>
      <c r="E57" s="36" t="s">
        <v>174</v>
      </c>
      <c r="F57" s="36">
        <v>60</v>
      </c>
      <c r="G57" s="36">
        <v>75</v>
      </c>
      <c r="H57" s="7">
        <v>63</v>
      </c>
      <c r="I57" s="8"/>
      <c r="J57" s="3">
        <v>-12</v>
      </c>
      <c r="K57" s="3" t="s">
        <v>272</v>
      </c>
      <c r="L57" s="3" t="s">
        <v>36</v>
      </c>
      <c r="M57" s="26" t="s">
        <v>388</v>
      </c>
      <c r="N57" s="26"/>
      <c r="O57" s="27" t="s">
        <v>41</v>
      </c>
      <c r="P57" s="24">
        <v>70</v>
      </c>
      <c r="Q57" s="24">
        <v>51</v>
      </c>
      <c r="R57" s="24"/>
      <c r="S57" s="24">
        <f t="shared" si="7"/>
        <v>-19</v>
      </c>
      <c r="T57" s="24"/>
      <c r="U57" s="24">
        <f t="shared" si="8"/>
        <v>-12</v>
      </c>
      <c r="V57" s="24" t="s">
        <v>389</v>
      </c>
      <c r="W57" s="24" t="s">
        <v>390</v>
      </c>
    </row>
    <row r="58" ht="18" spans="1:23">
      <c r="A58" s="16">
        <v>59</v>
      </c>
      <c r="B58" s="36" t="s">
        <v>22</v>
      </c>
      <c r="C58" s="36" t="s">
        <v>217</v>
      </c>
      <c r="D58" s="36" t="s">
        <v>391</v>
      </c>
      <c r="E58" s="36" t="s">
        <v>25</v>
      </c>
      <c r="F58" s="36">
        <v>90</v>
      </c>
      <c r="G58" s="36">
        <v>95</v>
      </c>
      <c r="H58" s="7">
        <v>98</v>
      </c>
      <c r="I58" s="8"/>
      <c r="J58" s="3">
        <v>3</v>
      </c>
      <c r="K58" s="3" t="s">
        <v>272</v>
      </c>
      <c r="L58" s="3" t="s">
        <v>29</v>
      </c>
      <c r="M58" s="26">
        <v>95</v>
      </c>
      <c r="N58" s="26"/>
      <c r="O58" s="27" t="s">
        <v>41</v>
      </c>
      <c r="P58" s="37">
        <v>95</v>
      </c>
      <c r="Q58" s="24">
        <v>96</v>
      </c>
      <c r="R58" s="24"/>
      <c r="S58" s="24">
        <f t="shared" si="7"/>
        <v>1</v>
      </c>
      <c r="T58" s="24"/>
      <c r="U58" s="24">
        <f t="shared" si="8"/>
        <v>-2</v>
      </c>
      <c r="V58" s="24" t="s">
        <v>190</v>
      </c>
      <c r="W58" s="24"/>
    </row>
    <row r="59" ht="18" spans="1:23">
      <c r="A59" s="16">
        <v>60</v>
      </c>
      <c r="B59" s="36" t="s">
        <v>22</v>
      </c>
      <c r="C59" s="36" t="s">
        <v>217</v>
      </c>
      <c r="D59" s="36" t="s">
        <v>392</v>
      </c>
      <c r="E59" s="36" t="s">
        <v>25</v>
      </c>
      <c r="F59" s="36">
        <v>98</v>
      </c>
      <c r="G59" s="36">
        <v>100</v>
      </c>
      <c r="H59" s="7">
        <v>100</v>
      </c>
      <c r="I59" s="8"/>
      <c r="J59" s="3">
        <v>0</v>
      </c>
      <c r="K59" s="3" t="s">
        <v>272</v>
      </c>
      <c r="L59" s="3" t="s">
        <v>29</v>
      </c>
      <c r="M59" s="26" t="s">
        <v>210</v>
      </c>
      <c r="N59" s="26"/>
      <c r="O59" s="27" t="s">
        <v>41</v>
      </c>
      <c r="P59" s="37">
        <v>100</v>
      </c>
      <c r="Q59" s="24">
        <v>96</v>
      </c>
      <c r="R59" s="24"/>
      <c r="S59" s="24">
        <f t="shared" si="7"/>
        <v>-4</v>
      </c>
      <c r="T59" s="24"/>
      <c r="U59" s="24">
        <f t="shared" si="8"/>
        <v>-4</v>
      </c>
      <c r="V59" s="24" t="s">
        <v>190</v>
      </c>
      <c r="W59" s="24"/>
    </row>
    <row r="60" ht="18" spans="1:23">
      <c r="A60" s="16">
        <v>61</v>
      </c>
      <c r="B60" s="36" t="s">
        <v>22</v>
      </c>
      <c r="C60" s="36" t="s">
        <v>217</v>
      </c>
      <c r="D60" s="36" t="s">
        <v>393</v>
      </c>
      <c r="E60" s="36" t="s">
        <v>219</v>
      </c>
      <c r="F60" s="36">
        <v>88</v>
      </c>
      <c r="G60" s="36">
        <v>95</v>
      </c>
      <c r="H60" s="7">
        <v>96</v>
      </c>
      <c r="I60" s="8"/>
      <c r="J60" s="3">
        <v>1</v>
      </c>
      <c r="K60" s="3" t="s">
        <v>272</v>
      </c>
      <c r="L60" s="3" t="s">
        <v>29</v>
      </c>
      <c r="M60" s="26">
        <v>97</v>
      </c>
      <c r="N60" s="26"/>
      <c r="O60" s="27" t="s">
        <v>41</v>
      </c>
      <c r="P60" s="37">
        <v>95</v>
      </c>
      <c r="Q60" s="24">
        <v>99</v>
      </c>
      <c r="R60" s="24"/>
      <c r="S60" s="24">
        <f t="shared" si="7"/>
        <v>4</v>
      </c>
      <c r="T60" s="24"/>
      <c r="U60" s="24">
        <f t="shared" si="8"/>
        <v>3</v>
      </c>
      <c r="V60" s="24" t="s">
        <v>190</v>
      </c>
      <c r="W60" s="24"/>
    </row>
    <row r="61" ht="18" spans="1:23">
      <c r="A61" s="16">
        <v>62</v>
      </c>
      <c r="B61" s="36" t="s">
        <v>22</v>
      </c>
      <c r="C61" s="36" t="s">
        <v>217</v>
      </c>
      <c r="D61" s="36" t="s">
        <v>394</v>
      </c>
      <c r="E61" s="36" t="s">
        <v>219</v>
      </c>
      <c r="F61" s="36">
        <v>85</v>
      </c>
      <c r="G61" s="36">
        <v>95</v>
      </c>
      <c r="H61" s="7">
        <v>92</v>
      </c>
      <c r="I61" s="8"/>
      <c r="J61" s="3">
        <v>-3</v>
      </c>
      <c r="K61" s="3" t="s">
        <v>272</v>
      </c>
      <c r="L61" s="3" t="s">
        <v>29</v>
      </c>
      <c r="M61" s="26">
        <v>83</v>
      </c>
      <c r="N61" s="26"/>
      <c r="O61" s="27" t="s">
        <v>30</v>
      </c>
      <c r="P61" s="37">
        <v>95</v>
      </c>
      <c r="Q61" s="24">
        <v>95</v>
      </c>
      <c r="R61" s="24"/>
      <c r="S61" s="24">
        <f t="shared" si="7"/>
        <v>0</v>
      </c>
      <c r="T61" s="24"/>
      <c r="U61" s="24">
        <f t="shared" si="8"/>
        <v>3</v>
      </c>
      <c r="V61" s="24" t="s">
        <v>190</v>
      </c>
      <c r="W61" s="24"/>
    </row>
    <row r="62" ht="18" spans="1:23">
      <c r="A62" s="16">
        <v>63</v>
      </c>
      <c r="B62" s="36" t="s">
        <v>22</v>
      </c>
      <c r="C62" s="36" t="s">
        <v>217</v>
      </c>
      <c r="D62" s="36" t="s">
        <v>395</v>
      </c>
      <c r="E62" s="36" t="s">
        <v>219</v>
      </c>
      <c r="F62" s="36">
        <v>64</v>
      </c>
      <c r="G62" s="36">
        <v>80</v>
      </c>
      <c r="H62" s="7"/>
      <c r="I62" s="8"/>
      <c r="M62" s="26" t="s">
        <v>210</v>
      </c>
      <c r="N62" s="26"/>
      <c r="O62" s="27" t="s">
        <v>41</v>
      </c>
      <c r="P62" s="37">
        <v>80</v>
      </c>
      <c r="Q62" s="24">
        <v>77</v>
      </c>
      <c r="R62" s="24"/>
      <c r="S62" s="24">
        <f t="shared" si="7"/>
        <v>-3</v>
      </c>
      <c r="T62" s="24"/>
      <c r="U62" s="24">
        <f t="shared" ref="U62:U72" si="10">Q62-H62</f>
        <v>77</v>
      </c>
      <c r="V62" s="24" t="s">
        <v>396</v>
      </c>
      <c r="W62" s="24" t="s">
        <v>390</v>
      </c>
    </row>
    <row r="63" ht="18" spans="1:23">
      <c r="A63" s="16">
        <v>64</v>
      </c>
      <c r="B63" s="36" t="s">
        <v>22</v>
      </c>
      <c r="C63" s="36" t="s">
        <v>217</v>
      </c>
      <c r="D63" s="38" t="s">
        <v>397</v>
      </c>
      <c r="E63" s="38" t="s">
        <v>219</v>
      </c>
      <c r="F63" s="38">
        <v>95</v>
      </c>
      <c r="G63" s="36">
        <v>95</v>
      </c>
      <c r="H63" s="7">
        <v>97</v>
      </c>
      <c r="I63" s="8"/>
      <c r="J63" s="3">
        <v>2</v>
      </c>
      <c r="K63" s="3" t="s">
        <v>272</v>
      </c>
      <c r="L63" s="3" t="s">
        <v>29</v>
      </c>
      <c r="M63" s="26">
        <v>90</v>
      </c>
      <c r="N63" s="26"/>
      <c r="O63" s="27" t="s">
        <v>41</v>
      </c>
      <c r="P63" s="37">
        <v>95</v>
      </c>
      <c r="Q63" s="24">
        <v>98</v>
      </c>
      <c r="R63" s="24"/>
      <c r="S63" s="24">
        <f t="shared" si="7"/>
        <v>3</v>
      </c>
      <c r="T63" s="24"/>
      <c r="U63" s="24">
        <f t="shared" si="10"/>
        <v>1</v>
      </c>
      <c r="V63" s="24" t="s">
        <v>190</v>
      </c>
      <c r="W63" s="24"/>
    </row>
    <row r="64" ht="18" spans="1:23">
      <c r="A64" s="16">
        <v>65</v>
      </c>
      <c r="B64" s="17" t="s">
        <v>22</v>
      </c>
      <c r="C64" s="17" t="s">
        <v>398</v>
      </c>
      <c r="D64" s="17" t="s">
        <v>399</v>
      </c>
      <c r="E64" s="17" t="s">
        <v>25</v>
      </c>
      <c r="F64" s="16">
        <v>56</v>
      </c>
      <c r="G64" s="36">
        <v>80</v>
      </c>
      <c r="H64" s="39">
        <v>88</v>
      </c>
      <c r="I64" s="8"/>
      <c r="K64" s="3" t="s">
        <v>272</v>
      </c>
      <c r="L64" s="3" t="s">
        <v>29</v>
      </c>
      <c r="M64" s="22" t="s">
        <v>210</v>
      </c>
      <c r="N64" s="26"/>
      <c r="O64" s="27"/>
      <c r="P64" s="24">
        <v>85</v>
      </c>
      <c r="Q64" s="24">
        <v>80</v>
      </c>
      <c r="R64" s="24"/>
      <c r="S64" s="24">
        <f t="shared" si="7"/>
        <v>-5</v>
      </c>
      <c r="T64" s="24"/>
      <c r="U64" s="24">
        <f t="shared" si="10"/>
        <v>-8</v>
      </c>
      <c r="V64" s="24" t="s">
        <v>400</v>
      </c>
      <c r="W64" s="24" t="s">
        <v>401</v>
      </c>
    </row>
    <row r="65" ht="18" spans="1:23">
      <c r="A65" s="16">
        <v>66</v>
      </c>
      <c r="B65" s="17" t="s">
        <v>22</v>
      </c>
      <c r="C65" s="17" t="s">
        <v>398</v>
      </c>
      <c r="D65" s="17" t="s">
        <v>402</v>
      </c>
      <c r="E65" s="17" t="s">
        <v>174</v>
      </c>
      <c r="F65" s="16">
        <v>116</v>
      </c>
      <c r="G65" s="36">
        <v>95</v>
      </c>
      <c r="H65" s="39">
        <v>89</v>
      </c>
      <c r="I65" s="8"/>
      <c r="K65" s="3" t="s">
        <v>272</v>
      </c>
      <c r="L65" s="3" t="s">
        <v>29</v>
      </c>
      <c r="M65" s="22" t="s">
        <v>210</v>
      </c>
      <c r="N65" s="26"/>
      <c r="O65" s="27"/>
      <c r="P65" s="24">
        <v>90</v>
      </c>
      <c r="Q65" s="24">
        <v>89</v>
      </c>
      <c r="R65" s="24"/>
      <c r="S65" s="24">
        <f t="shared" si="7"/>
        <v>-1</v>
      </c>
      <c r="T65" s="24"/>
      <c r="U65" s="24">
        <f t="shared" si="10"/>
        <v>0</v>
      </c>
      <c r="V65" s="24" t="s">
        <v>403</v>
      </c>
      <c r="W65" s="24" t="s">
        <v>404</v>
      </c>
    </row>
    <row r="66" ht="18" spans="1:23">
      <c r="A66" s="16">
        <v>67</v>
      </c>
      <c r="B66" s="17" t="s">
        <v>22</v>
      </c>
      <c r="C66" s="17" t="s">
        <v>398</v>
      </c>
      <c r="D66" s="17" t="s">
        <v>405</v>
      </c>
      <c r="E66" s="17" t="s">
        <v>25</v>
      </c>
      <c r="F66" s="16">
        <v>60</v>
      </c>
      <c r="G66" s="36">
        <v>80</v>
      </c>
      <c r="H66" s="39">
        <v>80</v>
      </c>
      <c r="I66" s="8"/>
      <c r="K66" s="3" t="s">
        <v>272</v>
      </c>
      <c r="L66" s="3" t="s">
        <v>29</v>
      </c>
      <c r="M66" s="22" t="s">
        <v>210</v>
      </c>
      <c r="N66" s="26"/>
      <c r="O66" s="27"/>
      <c r="P66" s="24">
        <v>85</v>
      </c>
      <c r="Q66" s="24">
        <v>78</v>
      </c>
      <c r="R66" s="24"/>
      <c r="S66" s="24">
        <f t="shared" si="7"/>
        <v>-7</v>
      </c>
      <c r="T66" s="24"/>
      <c r="U66" s="24">
        <f t="shared" si="10"/>
        <v>-2</v>
      </c>
      <c r="V66" s="24" t="s">
        <v>406</v>
      </c>
      <c r="W66" s="24"/>
    </row>
    <row r="67" ht="18" spans="1:23">
      <c r="A67" s="16">
        <v>68</v>
      </c>
      <c r="B67" s="17" t="s">
        <v>22</v>
      </c>
      <c r="C67" s="17" t="s">
        <v>398</v>
      </c>
      <c r="D67" s="17" t="s">
        <v>407</v>
      </c>
      <c r="E67" s="17" t="s">
        <v>219</v>
      </c>
      <c r="F67" s="16">
        <v>82</v>
      </c>
      <c r="G67" s="36">
        <v>105</v>
      </c>
      <c r="H67" s="39">
        <v>110</v>
      </c>
      <c r="I67" s="8"/>
      <c r="K67" s="3" t="s">
        <v>272</v>
      </c>
      <c r="L67" s="3" t="s">
        <v>29</v>
      </c>
      <c r="M67" s="22" t="s">
        <v>210</v>
      </c>
      <c r="N67" s="26"/>
      <c r="O67" s="27"/>
      <c r="P67" s="24">
        <v>90</v>
      </c>
      <c r="Q67" s="24">
        <v>119</v>
      </c>
      <c r="R67" s="24"/>
      <c r="S67" s="24">
        <f t="shared" si="7"/>
        <v>29</v>
      </c>
      <c r="T67" s="24"/>
      <c r="U67" s="24">
        <f t="shared" si="10"/>
        <v>9</v>
      </c>
      <c r="V67" s="24" t="s">
        <v>408</v>
      </c>
      <c r="W67" s="24"/>
    </row>
    <row r="68" ht="18" spans="1:23">
      <c r="A68" s="16">
        <v>70</v>
      </c>
      <c r="B68" s="17" t="s">
        <v>22</v>
      </c>
      <c r="C68" s="17" t="s">
        <v>398</v>
      </c>
      <c r="D68" s="17" t="s">
        <v>409</v>
      </c>
      <c r="E68" s="17" t="s">
        <v>174</v>
      </c>
      <c r="F68" s="16"/>
      <c r="G68" s="36"/>
      <c r="H68" s="39">
        <v>70</v>
      </c>
      <c r="I68" s="8"/>
      <c r="K68" s="3" t="s">
        <v>272</v>
      </c>
      <c r="L68" s="3" t="s">
        <v>29</v>
      </c>
      <c r="M68" s="26">
        <v>81</v>
      </c>
      <c r="N68" s="26"/>
      <c r="O68" s="23" t="s">
        <v>30</v>
      </c>
      <c r="P68" s="24">
        <v>85</v>
      </c>
      <c r="Q68" s="24">
        <v>71</v>
      </c>
      <c r="R68" s="24"/>
      <c r="S68" s="24">
        <f t="shared" si="7"/>
        <v>-14</v>
      </c>
      <c r="T68" s="24"/>
      <c r="U68" s="24">
        <f t="shared" si="10"/>
        <v>1</v>
      </c>
      <c r="V68" s="24" t="s">
        <v>410</v>
      </c>
      <c r="W68" s="24"/>
    </row>
    <row r="69" ht="18" spans="1:23">
      <c r="A69" s="16">
        <v>71</v>
      </c>
      <c r="B69" s="17" t="s">
        <v>22</v>
      </c>
      <c r="C69" s="17" t="s">
        <v>398</v>
      </c>
      <c r="D69" s="17" t="s">
        <v>411</v>
      </c>
      <c r="E69" s="17" t="s">
        <v>219</v>
      </c>
      <c r="F69" s="17" t="s">
        <v>412</v>
      </c>
      <c r="G69" s="36"/>
      <c r="H69" s="40" t="s">
        <v>210</v>
      </c>
      <c r="I69" s="8"/>
      <c r="K69" s="3" t="s">
        <v>272</v>
      </c>
      <c r="L69" s="3" t="s">
        <v>29</v>
      </c>
      <c r="M69" s="22" t="s">
        <v>210</v>
      </c>
      <c r="N69" s="26"/>
      <c r="O69" s="27"/>
      <c r="P69" s="24">
        <v>75</v>
      </c>
      <c r="Q69" s="24">
        <v>65</v>
      </c>
      <c r="R69" s="24"/>
      <c r="S69" s="24">
        <f t="shared" si="7"/>
        <v>-10</v>
      </c>
      <c r="T69" s="24"/>
      <c r="U69" s="24" t="e">
        <f t="shared" si="10"/>
        <v>#VALUE!</v>
      </c>
      <c r="V69" s="24" t="s">
        <v>413</v>
      </c>
      <c r="W69" s="24"/>
    </row>
    <row r="70" ht="18" spans="1:23">
      <c r="A70" s="16">
        <v>72</v>
      </c>
      <c r="B70" s="17" t="s">
        <v>22</v>
      </c>
      <c r="C70" s="17" t="s">
        <v>398</v>
      </c>
      <c r="D70" s="17" t="s">
        <v>414</v>
      </c>
      <c r="E70" s="17" t="s">
        <v>25</v>
      </c>
      <c r="F70" s="17" t="s">
        <v>415</v>
      </c>
      <c r="G70" s="36">
        <v>70</v>
      </c>
      <c r="H70" s="39">
        <v>76</v>
      </c>
      <c r="I70" s="8"/>
      <c r="K70" s="3" t="s">
        <v>272</v>
      </c>
      <c r="L70" s="3" t="s">
        <v>29</v>
      </c>
      <c r="M70" s="22" t="s">
        <v>416</v>
      </c>
      <c r="N70" s="26"/>
      <c r="O70" s="23" t="s">
        <v>30</v>
      </c>
      <c r="P70" s="24">
        <v>80</v>
      </c>
      <c r="Q70" s="24">
        <v>72</v>
      </c>
      <c r="R70" s="24"/>
      <c r="S70" s="24">
        <f t="shared" si="7"/>
        <v>-8</v>
      </c>
      <c r="T70" s="24"/>
      <c r="U70" s="24">
        <f t="shared" si="10"/>
        <v>-4</v>
      </c>
      <c r="V70" s="24" t="s">
        <v>417</v>
      </c>
      <c r="W70" s="24" t="s">
        <v>418</v>
      </c>
    </row>
    <row r="71" ht="18" spans="1:23">
      <c r="A71" s="16">
        <v>73</v>
      </c>
      <c r="B71" s="17" t="s">
        <v>22</v>
      </c>
      <c r="C71" s="17" t="s">
        <v>398</v>
      </c>
      <c r="D71" s="17" t="s">
        <v>419</v>
      </c>
      <c r="E71" s="17" t="s">
        <v>174</v>
      </c>
      <c r="F71" s="16">
        <v>72</v>
      </c>
      <c r="G71" s="36">
        <v>80</v>
      </c>
      <c r="H71" s="39">
        <v>82</v>
      </c>
      <c r="I71" s="8"/>
      <c r="K71" s="3" t="s">
        <v>272</v>
      </c>
      <c r="L71" s="3" t="s">
        <v>29</v>
      </c>
      <c r="M71" s="26">
        <v>72</v>
      </c>
      <c r="N71" s="26"/>
      <c r="O71" s="23" t="s">
        <v>30</v>
      </c>
      <c r="P71" s="24">
        <v>85</v>
      </c>
      <c r="Q71" s="24">
        <v>78</v>
      </c>
      <c r="R71" s="24"/>
      <c r="S71" s="24">
        <f t="shared" si="7"/>
        <v>-7</v>
      </c>
      <c r="T71" s="24"/>
      <c r="U71" s="24">
        <f t="shared" si="10"/>
        <v>-4</v>
      </c>
      <c r="V71" s="24" t="s">
        <v>420</v>
      </c>
      <c r="W71" s="24" t="s">
        <v>421</v>
      </c>
    </row>
    <row r="72" ht="16.5" spans="1:23">
      <c r="A72" s="16"/>
      <c r="B72" s="17"/>
      <c r="C72" s="17"/>
      <c r="D72" s="17"/>
      <c r="E72" s="17"/>
      <c r="F72" s="17"/>
      <c r="G72" s="17"/>
      <c r="P72" s="41"/>
      <c r="Q72" s="41"/>
      <c r="R72" s="41"/>
    </row>
    <row r="73" ht="16.5" spans="1:23">
      <c r="A73" s="16"/>
      <c r="B73" s="17"/>
      <c r="C73" s="17"/>
      <c r="D73" s="17"/>
      <c r="E73" s="17"/>
      <c r="F73" s="17"/>
      <c r="G73" s="17"/>
    </row>
    <row r="74" ht="16.5" spans="1:23">
      <c r="A74" s="16"/>
      <c r="B74" s="17"/>
      <c r="C74" s="17"/>
      <c r="D74" s="17"/>
      <c r="E74" s="17"/>
      <c r="F74" s="17"/>
      <c r="G74" s="17"/>
    </row>
    <row r="75" ht="16.5" spans="1:23">
      <c r="A75" s="16"/>
      <c r="B75" s="17"/>
      <c r="C75" s="17"/>
      <c r="D75" s="17"/>
      <c r="E75" s="17"/>
      <c r="F75" s="17"/>
      <c r="G75" s="17"/>
    </row>
    <row r="76" ht="16.5" spans="1:23">
      <c r="A76" s="16"/>
      <c r="B76" s="17"/>
      <c r="C76" s="17"/>
      <c r="D76" s="17"/>
      <c r="E76" s="17"/>
      <c r="F76" s="17"/>
      <c r="G76" s="17"/>
    </row>
    <row r="77" ht="16.5" spans="1:23">
      <c r="A77" s="16"/>
      <c r="B77" s="17"/>
      <c r="C77" s="17"/>
      <c r="D77" s="17"/>
      <c r="E77" s="17"/>
      <c r="F77" s="17"/>
      <c r="G77" s="17"/>
    </row>
    <row r="78" ht="16.5" spans="1:23">
      <c r="A78" s="16"/>
      <c r="B78" s="17"/>
      <c r="C78" s="17"/>
      <c r="D78" s="17"/>
      <c r="E78" s="17"/>
      <c r="F78" s="17"/>
      <c r="G78" s="17"/>
    </row>
    <row r="79" ht="16.5" spans="1:23">
      <c r="A79" s="16"/>
      <c r="B79" s="17"/>
      <c r="C79" s="17"/>
      <c r="D79" s="17"/>
      <c r="E79" s="17"/>
      <c r="F79" s="17"/>
      <c r="G79" s="17"/>
    </row>
    <row r="80" ht="16.5" spans="1:23">
      <c r="A80" s="16"/>
      <c r="B80" s="17"/>
      <c r="C80" s="17"/>
      <c r="D80" s="17"/>
      <c r="E80" s="17"/>
      <c r="F80" s="17"/>
      <c r="G80" s="17"/>
    </row>
    <row r="81" ht="16.5" spans="1:7">
      <c r="A81" s="16"/>
      <c r="B81" s="17"/>
      <c r="C81" s="17"/>
      <c r="D81" s="17"/>
      <c r="E81" s="17"/>
      <c r="F81" s="17"/>
      <c r="G81" s="17"/>
    </row>
    <row r="82" ht="16.5" spans="1:7">
      <c r="A82" s="16"/>
      <c r="B82" s="17"/>
      <c r="C82" s="17"/>
      <c r="D82" s="17"/>
      <c r="E82" s="17"/>
      <c r="F82" s="17"/>
      <c r="G82" s="17"/>
    </row>
    <row r="83" ht="16.5" spans="1:7">
      <c r="A83" s="16"/>
      <c r="B83" s="17"/>
      <c r="C83" s="17"/>
      <c r="D83" s="17"/>
      <c r="E83" s="17"/>
      <c r="F83" s="17"/>
      <c r="G83" s="17"/>
    </row>
    <row r="84" ht="16.5" spans="1:7">
      <c r="A84" s="16"/>
      <c r="B84" s="17"/>
      <c r="C84" s="17"/>
      <c r="D84" s="17"/>
      <c r="E84" s="17"/>
      <c r="F84" s="17"/>
      <c r="G84" s="17"/>
    </row>
    <row r="85" ht="16.5" spans="1:7">
      <c r="A85" s="16"/>
      <c r="B85" s="17"/>
      <c r="C85" s="17"/>
      <c r="D85" s="17"/>
      <c r="E85" s="17"/>
      <c r="F85" s="17"/>
      <c r="G85" s="17"/>
    </row>
    <row r="86" ht="16.5" spans="1:7">
      <c r="A86" s="16"/>
      <c r="B86" s="17"/>
      <c r="C86" s="17"/>
      <c r="D86" s="17"/>
      <c r="E86" s="17"/>
      <c r="F86" s="17"/>
      <c r="G86" s="17"/>
    </row>
    <row r="87" ht="16.5" spans="1:7">
      <c r="A87" s="16"/>
      <c r="B87" s="17"/>
      <c r="C87" s="17"/>
      <c r="D87" s="17"/>
      <c r="E87" s="17"/>
      <c r="F87" s="17"/>
      <c r="G87" s="17"/>
    </row>
    <row r="88" ht="16.5" spans="1:7">
      <c r="A88" s="16"/>
      <c r="B88" s="17"/>
      <c r="C88" s="17"/>
      <c r="D88" s="17"/>
      <c r="E88" s="17"/>
      <c r="F88" s="17"/>
      <c r="G88" s="17"/>
    </row>
    <row r="89" ht="16.5" spans="1:7">
      <c r="A89" s="16"/>
      <c r="B89" s="17"/>
      <c r="C89" s="17"/>
      <c r="D89" s="17"/>
      <c r="E89" s="17"/>
      <c r="F89" s="17"/>
      <c r="G89" s="17"/>
    </row>
    <row r="90" ht="16.5" spans="1:7">
      <c r="A90" s="16"/>
      <c r="B90" s="17"/>
      <c r="C90" s="17"/>
      <c r="D90" s="17"/>
      <c r="E90" s="17"/>
      <c r="F90" s="17"/>
      <c r="G90" s="17"/>
    </row>
    <row r="91" ht="16.5" spans="1:7">
      <c r="A91" s="16"/>
      <c r="B91" s="17"/>
      <c r="C91" s="17"/>
      <c r="D91" s="17"/>
      <c r="E91" s="17"/>
      <c r="F91" s="17"/>
      <c r="G91" s="17"/>
    </row>
    <row r="92" ht="16.5" spans="1:7">
      <c r="A92" s="16"/>
      <c r="B92" s="17"/>
      <c r="C92" s="17"/>
      <c r="D92" s="17"/>
      <c r="E92" s="17"/>
      <c r="F92" s="17"/>
      <c r="G92" s="17"/>
    </row>
    <row r="93" ht="16.5" spans="1:7">
      <c r="A93" s="16"/>
      <c r="B93" s="17"/>
      <c r="C93" s="17"/>
      <c r="D93" s="17"/>
      <c r="E93" s="17"/>
      <c r="F93" s="17"/>
      <c r="G93" s="17"/>
    </row>
    <row r="94" ht="16.5" spans="1:7">
      <c r="A94" s="16"/>
      <c r="B94" s="17"/>
      <c r="C94" s="17"/>
      <c r="D94" s="17"/>
      <c r="E94" s="17"/>
      <c r="F94" s="17"/>
      <c r="G94" s="17"/>
    </row>
    <row r="95" ht="16.5" spans="1:7">
      <c r="A95" s="16"/>
      <c r="B95" s="17"/>
      <c r="C95" s="17"/>
      <c r="D95" s="17"/>
      <c r="E95" s="17"/>
      <c r="F95" s="17"/>
      <c r="G95" s="17"/>
    </row>
    <row r="96" ht="16.5" spans="1:7">
      <c r="A96" s="16"/>
      <c r="B96" s="17"/>
      <c r="C96" s="17"/>
      <c r="D96" s="17"/>
      <c r="E96" s="17"/>
      <c r="F96" s="17"/>
      <c r="G96" s="17"/>
    </row>
    <row r="97" ht="16.5" spans="1:7">
      <c r="A97" s="16"/>
      <c r="B97" s="17"/>
      <c r="C97" s="17"/>
      <c r="D97" s="17"/>
      <c r="E97" s="17"/>
      <c r="F97" s="17"/>
      <c r="G97" s="17"/>
    </row>
    <row r="98" ht="16.5" spans="1:7">
      <c r="A98" s="16"/>
      <c r="B98" s="17"/>
      <c r="C98" s="17"/>
      <c r="D98" s="17"/>
      <c r="E98" s="17"/>
      <c r="F98" s="17"/>
      <c r="G98" s="17"/>
    </row>
    <row r="99" ht="16.5" spans="1:7">
      <c r="A99" s="16"/>
      <c r="B99" s="17"/>
      <c r="C99" s="17"/>
      <c r="D99" s="17"/>
      <c r="E99" s="17"/>
      <c r="F99" s="17"/>
      <c r="G99" s="17"/>
    </row>
    <row r="100" ht="16.5" spans="1:7">
      <c r="A100" s="16"/>
      <c r="B100" s="17"/>
      <c r="C100" s="17"/>
      <c r="D100" s="17"/>
      <c r="E100" s="17"/>
      <c r="F100" s="17"/>
      <c r="G100" s="17"/>
    </row>
    <row r="101" ht="16.5" spans="1:7">
      <c r="A101" s="16"/>
      <c r="B101" s="17"/>
      <c r="C101" s="17"/>
      <c r="D101" s="17"/>
      <c r="E101" s="17"/>
      <c r="F101" s="17"/>
      <c r="G101" s="17"/>
    </row>
    <row r="102" ht="16.5" spans="1:7">
      <c r="A102" s="16"/>
      <c r="B102" s="16"/>
      <c r="C102" s="16"/>
      <c r="D102" s="16"/>
      <c r="E102" s="16"/>
      <c r="F102" s="16"/>
      <c r="G102" s="16"/>
    </row>
    <row r="103" ht="16.5" spans="1:7">
      <c r="A103" s="16"/>
      <c r="B103" s="16"/>
      <c r="C103" s="16"/>
      <c r="D103" s="16"/>
      <c r="E103" s="16"/>
      <c r="F103" s="16"/>
      <c r="G103" s="16"/>
    </row>
    <row r="104" ht="16.5" spans="1:7">
      <c r="A104" s="16"/>
      <c r="B104" s="16"/>
      <c r="C104" s="16"/>
      <c r="D104" s="16"/>
      <c r="E104" s="16"/>
      <c r="F104" s="16"/>
      <c r="G104" s="16"/>
    </row>
    <row r="105" ht="16.5" spans="1:7">
      <c r="A105" s="16"/>
      <c r="B105" s="16"/>
      <c r="C105" s="16"/>
      <c r="D105" s="16"/>
      <c r="E105" s="16"/>
      <c r="F105" s="16"/>
      <c r="G105" s="16"/>
    </row>
    <row r="106" ht="16.5" spans="1:7">
      <c r="A106" s="16"/>
      <c r="B106" s="16"/>
      <c r="C106" s="16"/>
      <c r="D106" s="16"/>
      <c r="E106" s="16"/>
      <c r="F106" s="16"/>
      <c r="G106" s="16"/>
    </row>
    <row r="107" ht="16.5" spans="1:7">
      <c r="A107" s="16"/>
      <c r="B107" s="16"/>
      <c r="C107" s="16"/>
      <c r="D107" s="16"/>
      <c r="E107" s="16"/>
      <c r="F107" s="16"/>
      <c r="G107" s="16"/>
    </row>
    <row r="108" ht="16.5" spans="1:7">
      <c r="A108" s="16"/>
      <c r="B108" s="16"/>
      <c r="C108" s="16"/>
      <c r="D108" s="16"/>
      <c r="E108" s="16"/>
      <c r="F108" s="16"/>
      <c r="G108" s="16"/>
    </row>
    <row r="109" ht="16.5" spans="1:7">
      <c r="A109" s="16"/>
      <c r="B109" s="16"/>
      <c r="C109" s="16"/>
      <c r="D109" s="16"/>
      <c r="E109" s="16"/>
      <c r="F109" s="16"/>
      <c r="G109" s="16"/>
    </row>
    <row r="110" ht="16.5" spans="1:7">
      <c r="A110" s="16"/>
      <c r="B110" s="16"/>
      <c r="C110" s="16"/>
      <c r="D110" s="16"/>
      <c r="E110" s="16"/>
      <c r="F110" s="16"/>
      <c r="G110" s="16"/>
    </row>
    <row r="111" ht="16.5" spans="1:7">
      <c r="A111" s="16"/>
      <c r="B111" s="16"/>
      <c r="C111" s="16"/>
      <c r="D111" s="16"/>
      <c r="E111" s="16"/>
      <c r="F111" s="16"/>
      <c r="G111" s="16"/>
    </row>
    <row r="112" ht="16.5" spans="1:7">
      <c r="A112" s="16"/>
      <c r="B112" s="16"/>
      <c r="C112" s="16"/>
      <c r="D112" s="16"/>
      <c r="E112" s="16"/>
      <c r="F112" s="16"/>
      <c r="G112" s="16"/>
    </row>
    <row r="113" ht="16.5" spans="1:7">
      <c r="A113" s="16"/>
      <c r="B113" s="16"/>
      <c r="C113" s="16"/>
      <c r="D113" s="16"/>
      <c r="E113" s="16"/>
      <c r="F113" s="16"/>
      <c r="G113" s="16"/>
    </row>
    <row r="114" ht="16.5" spans="1:7">
      <c r="A114" s="16"/>
      <c r="B114" s="16"/>
      <c r="C114" s="16"/>
      <c r="D114" s="16"/>
      <c r="E114" s="16"/>
      <c r="F114" s="16"/>
      <c r="G114" s="16"/>
    </row>
    <row r="115" ht="16.5" spans="1:7">
      <c r="A115" s="16"/>
      <c r="B115" s="16"/>
      <c r="C115" s="16"/>
      <c r="D115" s="16"/>
      <c r="E115" s="16"/>
      <c r="F115" s="16"/>
      <c r="G115" s="16"/>
    </row>
    <row r="116" ht="16.5" spans="1:7">
      <c r="A116" s="16"/>
      <c r="B116" s="16"/>
      <c r="C116" s="16"/>
      <c r="D116" s="16"/>
      <c r="E116" s="16"/>
      <c r="F116" s="16"/>
      <c r="G116" s="16"/>
    </row>
    <row r="117" ht="16.5" spans="1:7">
      <c r="A117" s="16"/>
      <c r="B117" s="16"/>
      <c r="C117" s="16"/>
      <c r="D117" s="16"/>
      <c r="E117" s="16"/>
      <c r="F117" s="16"/>
      <c r="G117" s="16"/>
    </row>
    <row r="118" ht="16.5" spans="1:7">
      <c r="A118" s="16"/>
      <c r="B118" s="16"/>
      <c r="C118" s="16"/>
      <c r="D118" s="16"/>
      <c r="E118" s="16"/>
      <c r="F118" s="16"/>
      <c r="G118" s="16"/>
    </row>
    <row r="119" ht="16.5" spans="1:7">
      <c r="A119" s="16"/>
      <c r="B119" s="16"/>
      <c r="C119" s="16"/>
      <c r="D119" s="16"/>
      <c r="E119" s="16"/>
      <c r="F119" s="16"/>
      <c r="G119" s="16"/>
    </row>
    <row r="120" ht="16.5" spans="1:7">
      <c r="A120" s="16"/>
      <c r="B120" s="16"/>
      <c r="C120" s="16"/>
      <c r="D120" s="16"/>
      <c r="E120" s="16"/>
      <c r="F120" s="16"/>
      <c r="G120" s="16"/>
    </row>
    <row r="121" ht="16.5" spans="1:7">
      <c r="A121" s="16"/>
      <c r="B121" s="16"/>
      <c r="C121" s="16"/>
      <c r="D121" s="16"/>
      <c r="E121" s="16"/>
      <c r="F121" s="16"/>
      <c r="G121" s="16"/>
    </row>
    <row r="122" ht="16.5" spans="1:7">
      <c r="A122" s="16"/>
      <c r="B122" s="16"/>
      <c r="C122" s="16"/>
      <c r="D122" s="16"/>
      <c r="E122" s="16"/>
      <c r="F122" s="16"/>
      <c r="G122" s="16"/>
    </row>
    <row r="123" ht="16.5" spans="1:7">
      <c r="A123" s="16"/>
      <c r="B123" s="16"/>
      <c r="C123" s="16"/>
      <c r="D123" s="16"/>
      <c r="E123" s="16"/>
      <c r="F123" s="16"/>
      <c r="G123" s="16"/>
    </row>
    <row r="124" ht="16.5" spans="1:7">
      <c r="A124" s="16"/>
      <c r="B124" s="16"/>
      <c r="C124" s="16"/>
      <c r="D124" s="16"/>
      <c r="E124" s="16"/>
      <c r="F124" s="16"/>
      <c r="G124" s="16"/>
    </row>
    <row r="125" ht="16.5" spans="1:7">
      <c r="A125" s="16"/>
      <c r="B125" s="16"/>
      <c r="C125" s="16"/>
      <c r="D125" s="16"/>
      <c r="E125" s="16"/>
      <c r="F125" s="16"/>
      <c r="G125" s="16"/>
    </row>
    <row r="126" ht="16.5" spans="1:7">
      <c r="A126" s="16"/>
      <c r="B126" s="16"/>
      <c r="C126" s="16"/>
      <c r="D126" s="16"/>
      <c r="E126" s="16"/>
      <c r="F126" s="16"/>
      <c r="G126" s="16"/>
    </row>
    <row r="127" ht="16.5" spans="1:7">
      <c r="A127" s="16"/>
      <c r="B127" s="16"/>
      <c r="C127" s="16"/>
      <c r="D127" s="16"/>
      <c r="E127" s="16"/>
      <c r="F127" s="16"/>
      <c r="G127" s="16"/>
    </row>
    <row r="128" ht="16.5" spans="1:7">
      <c r="A128" s="16"/>
      <c r="B128" s="16"/>
      <c r="C128" s="16"/>
      <c r="D128" s="16"/>
      <c r="E128" s="16"/>
      <c r="F128" s="16"/>
      <c r="G128" s="16"/>
    </row>
    <row r="129" ht="16.5" spans="1:7">
      <c r="A129" s="16"/>
      <c r="B129" s="16"/>
      <c r="C129" s="16"/>
      <c r="D129" s="16"/>
      <c r="E129" s="16"/>
      <c r="F129" s="16"/>
      <c r="G129" s="16"/>
    </row>
    <row r="130" ht="16.5" spans="1:7">
      <c r="A130" s="16"/>
      <c r="B130" s="16"/>
      <c r="C130" s="16"/>
      <c r="D130" s="16"/>
      <c r="E130" s="16"/>
      <c r="F130" s="16"/>
      <c r="G130" s="16"/>
    </row>
    <row r="131" ht="16.5" spans="1:7">
      <c r="A131" s="16"/>
      <c r="B131" s="16"/>
      <c r="C131" s="16"/>
      <c r="D131" s="16"/>
      <c r="E131" s="16"/>
      <c r="F131" s="16"/>
      <c r="G131" s="16"/>
    </row>
    <row r="132" ht="16.5" spans="1:7">
      <c r="A132" s="16"/>
      <c r="B132" s="16"/>
      <c r="C132" s="16"/>
      <c r="D132" s="16"/>
      <c r="E132" s="16"/>
      <c r="F132" s="16"/>
      <c r="G132" s="16"/>
    </row>
    <row r="133" ht="16.5" spans="1:7">
      <c r="A133" s="16"/>
      <c r="B133" s="16"/>
      <c r="C133" s="16"/>
      <c r="D133" s="16"/>
      <c r="E133" s="16"/>
      <c r="F133" s="16"/>
      <c r="G133" s="16"/>
    </row>
    <row r="134" ht="16.5" spans="1:7">
      <c r="A134" s="16"/>
      <c r="B134" s="16"/>
      <c r="C134" s="16"/>
      <c r="D134" s="16"/>
      <c r="E134" s="16"/>
      <c r="F134" s="16"/>
      <c r="G134" s="16"/>
    </row>
    <row r="135" ht="16.5" spans="1:7">
      <c r="A135" s="16"/>
      <c r="B135" s="16"/>
      <c r="C135" s="16"/>
      <c r="D135" s="16"/>
      <c r="E135" s="16"/>
      <c r="F135" s="16"/>
      <c r="G135" s="16"/>
    </row>
    <row r="136" ht="16.5" spans="1:7">
      <c r="A136" s="16"/>
      <c r="B136" s="16"/>
      <c r="C136" s="16"/>
      <c r="D136" s="16"/>
      <c r="E136" s="16"/>
      <c r="F136" s="16"/>
      <c r="G136" s="16"/>
    </row>
    <row r="137" ht="16.5" spans="1:7">
      <c r="A137" s="16"/>
      <c r="B137" s="16"/>
      <c r="C137" s="16"/>
      <c r="D137" s="16"/>
      <c r="E137" s="16"/>
      <c r="F137" s="16"/>
      <c r="G137" s="16"/>
    </row>
    <row r="138" ht="16.5" spans="1:7">
      <c r="A138" s="16"/>
      <c r="B138" s="16"/>
      <c r="C138" s="16"/>
      <c r="D138" s="16"/>
      <c r="E138" s="16"/>
      <c r="F138" s="16"/>
      <c r="G138" s="16"/>
    </row>
    <row r="139" ht="16.5" spans="1:7">
      <c r="A139" s="16"/>
      <c r="B139" s="16"/>
      <c r="C139" s="16"/>
      <c r="D139" s="16"/>
      <c r="E139" s="16"/>
      <c r="F139" s="16"/>
      <c r="G139" s="16"/>
    </row>
    <row r="140" ht="16.5" spans="1:7">
      <c r="A140" s="16"/>
      <c r="B140" s="16"/>
      <c r="C140" s="16"/>
      <c r="D140" s="16"/>
      <c r="E140" s="16"/>
      <c r="F140" s="16"/>
      <c r="G140" s="16"/>
    </row>
    <row r="141" ht="16.5" spans="1:7">
      <c r="A141" s="16"/>
      <c r="B141" s="16"/>
      <c r="C141" s="16"/>
      <c r="D141" s="16"/>
      <c r="E141" s="16"/>
      <c r="F141" s="16"/>
      <c r="G141" s="16"/>
    </row>
    <row r="142" ht="16.5" spans="1:7">
      <c r="A142" s="16"/>
      <c r="B142" s="16"/>
      <c r="C142" s="16"/>
      <c r="D142" s="16"/>
      <c r="E142" s="16"/>
      <c r="F142" s="16"/>
      <c r="G142" s="16"/>
    </row>
    <row r="143" ht="16.5" spans="1:7">
      <c r="A143" s="16"/>
      <c r="B143" s="16"/>
      <c r="C143" s="16"/>
      <c r="D143" s="16"/>
      <c r="E143" s="16"/>
      <c r="F143" s="16"/>
      <c r="G143" s="16"/>
    </row>
    <row r="144" ht="16.5" spans="1:7">
      <c r="A144" s="16"/>
      <c r="B144" s="16"/>
      <c r="C144" s="16"/>
      <c r="D144" s="16"/>
      <c r="E144" s="16"/>
      <c r="F144" s="16"/>
      <c r="G144" s="16"/>
    </row>
    <row r="145" ht="16.5" spans="1:7">
      <c r="A145" s="16"/>
      <c r="B145" s="16"/>
      <c r="C145" s="16"/>
      <c r="D145" s="16"/>
      <c r="E145" s="16"/>
      <c r="F145" s="16"/>
      <c r="G145" s="16"/>
    </row>
    <row r="146" ht="16.5" spans="1:7">
      <c r="A146" s="16"/>
      <c r="B146" s="16"/>
      <c r="C146" s="16"/>
      <c r="D146" s="16"/>
      <c r="E146" s="16"/>
      <c r="F146" s="16"/>
      <c r="G146" s="16"/>
    </row>
    <row r="147" ht="16.5" spans="1:7">
      <c r="A147" s="16"/>
      <c r="B147" s="16"/>
      <c r="C147" s="16"/>
      <c r="D147" s="16"/>
      <c r="E147" s="16"/>
      <c r="F147" s="16"/>
      <c r="G147" s="16"/>
    </row>
    <row r="148" ht="16.5" spans="1:7">
      <c r="A148" s="16"/>
      <c r="B148" s="16"/>
      <c r="C148" s="16"/>
      <c r="D148" s="16"/>
      <c r="E148" s="16"/>
      <c r="F148" s="16"/>
      <c r="G148" s="16"/>
    </row>
    <row r="149" ht="16.5" spans="1:7">
      <c r="A149" s="16"/>
      <c r="B149" s="16"/>
      <c r="C149" s="16"/>
      <c r="D149" s="16"/>
      <c r="E149" s="16"/>
      <c r="F149" s="16"/>
      <c r="G149" s="16"/>
    </row>
    <row r="150" ht="16.5" spans="1:7">
      <c r="A150" s="16"/>
      <c r="B150" s="16"/>
      <c r="C150" s="16"/>
      <c r="D150" s="16"/>
      <c r="E150" s="16"/>
      <c r="F150" s="16"/>
      <c r="G150" s="16"/>
    </row>
    <row r="151" ht="16.5" spans="1:7">
      <c r="A151" s="16"/>
      <c r="B151" s="16"/>
      <c r="C151" s="16"/>
      <c r="D151" s="16"/>
      <c r="E151" s="16"/>
      <c r="F151" s="16"/>
      <c r="G151" s="16"/>
    </row>
    <row r="152" ht="16.5" spans="1:7">
      <c r="A152" s="16"/>
      <c r="B152" s="16"/>
      <c r="C152" s="16"/>
      <c r="D152" s="16"/>
      <c r="E152" s="16"/>
      <c r="F152" s="16"/>
      <c r="G152" s="16"/>
    </row>
    <row r="153" ht="16.5" spans="1:7">
      <c r="A153" s="16"/>
      <c r="B153" s="16"/>
      <c r="C153" s="16"/>
      <c r="D153" s="16"/>
      <c r="E153" s="16"/>
      <c r="F153" s="16"/>
      <c r="G153" s="16"/>
    </row>
    <row r="154" ht="16.5" spans="1:7">
      <c r="A154" s="16"/>
      <c r="B154" s="16"/>
      <c r="C154" s="16"/>
      <c r="D154" s="16"/>
      <c r="E154" s="16"/>
      <c r="F154" s="16"/>
      <c r="G154" s="16"/>
    </row>
    <row r="155" ht="16.5" spans="1:7">
      <c r="A155" s="16"/>
      <c r="B155" s="16"/>
      <c r="C155" s="16"/>
      <c r="D155" s="16"/>
      <c r="E155" s="16"/>
      <c r="F155" s="16"/>
      <c r="G155" s="16"/>
    </row>
    <row r="156" ht="16.5" spans="1:7">
      <c r="A156" s="16"/>
      <c r="B156" s="16"/>
      <c r="C156" s="16"/>
      <c r="D156" s="16"/>
      <c r="E156" s="16"/>
      <c r="F156" s="16"/>
      <c r="G156" s="16"/>
    </row>
    <row r="157" ht="16.5" spans="1:7">
      <c r="A157" s="16"/>
      <c r="B157" s="16"/>
      <c r="C157" s="16"/>
      <c r="D157" s="16"/>
      <c r="E157" s="16"/>
      <c r="F157" s="16"/>
      <c r="G157" s="16"/>
    </row>
    <row r="158" ht="16.5" spans="1:7">
      <c r="A158" s="16"/>
      <c r="B158" s="16"/>
      <c r="C158" s="16"/>
      <c r="D158" s="16"/>
      <c r="E158" s="16"/>
      <c r="F158" s="16"/>
      <c r="G158" s="16"/>
    </row>
    <row r="159" ht="16.5" spans="1:7">
      <c r="A159" s="16"/>
      <c r="B159" s="16"/>
      <c r="C159" s="16"/>
      <c r="D159" s="16"/>
      <c r="E159" s="16"/>
      <c r="F159" s="16"/>
      <c r="G159" s="16"/>
    </row>
    <row r="160" ht="16.5" spans="1:7">
      <c r="A160" s="16"/>
      <c r="B160" s="16"/>
      <c r="C160" s="16"/>
      <c r="D160" s="16"/>
      <c r="E160" s="16"/>
      <c r="F160" s="16"/>
      <c r="G160" s="16"/>
    </row>
    <row r="161" ht="16.5" spans="1:7">
      <c r="A161" s="16"/>
      <c r="B161" s="16"/>
      <c r="C161" s="16"/>
      <c r="D161" s="16"/>
      <c r="E161" s="16"/>
      <c r="F161" s="16"/>
      <c r="G161" s="16"/>
    </row>
    <row r="162" ht="16.5" spans="1:7">
      <c r="A162" s="16"/>
      <c r="B162" s="16"/>
      <c r="C162" s="16"/>
      <c r="D162" s="16"/>
      <c r="E162" s="16"/>
      <c r="F162" s="16"/>
      <c r="G162" s="16"/>
    </row>
    <row r="163" ht="16.5" spans="1:7">
      <c r="A163" s="16"/>
      <c r="B163" s="16"/>
      <c r="C163" s="16"/>
      <c r="D163" s="16"/>
      <c r="E163" s="16"/>
      <c r="F163" s="16"/>
      <c r="G163" s="16"/>
    </row>
    <row r="164" ht="16.5" spans="1:7">
      <c r="A164" s="16"/>
      <c r="B164" s="16"/>
      <c r="C164" s="16"/>
      <c r="D164" s="16"/>
      <c r="E164" s="16"/>
      <c r="F164" s="16"/>
      <c r="G164" s="16"/>
    </row>
    <row r="165" ht="16.5" spans="1:7">
      <c r="A165" s="16"/>
      <c r="B165" s="16"/>
      <c r="C165" s="16"/>
      <c r="D165" s="16"/>
      <c r="E165" s="16"/>
      <c r="F165" s="16"/>
      <c r="G165" s="16"/>
    </row>
    <row r="166" ht="16.5" spans="1:7">
      <c r="A166" s="16"/>
      <c r="B166" s="16"/>
      <c r="C166" s="16"/>
      <c r="D166" s="16"/>
      <c r="E166" s="16"/>
      <c r="F166" s="16"/>
      <c r="G166" s="16"/>
    </row>
    <row r="167" ht="16.5" spans="1:7">
      <c r="A167" s="16"/>
      <c r="B167" s="16"/>
      <c r="C167" s="16"/>
      <c r="D167" s="16"/>
      <c r="E167" s="16"/>
      <c r="F167" s="16"/>
      <c r="G167" s="16"/>
    </row>
    <row r="168" ht="16.5" spans="1:7">
      <c r="A168" s="16"/>
      <c r="B168" s="16"/>
      <c r="C168" s="16"/>
      <c r="D168" s="16"/>
      <c r="E168" s="16"/>
      <c r="F168" s="16"/>
      <c r="G168" s="16"/>
    </row>
    <row r="169" ht="16.5" spans="1:7">
      <c r="A169" s="16"/>
      <c r="B169" s="16"/>
      <c r="C169" s="16"/>
      <c r="D169" s="16"/>
      <c r="E169" s="16"/>
      <c r="F169" s="16"/>
      <c r="G169" s="16"/>
    </row>
    <row r="170" ht="16.5" spans="1:7">
      <c r="A170" s="16"/>
      <c r="B170" s="16"/>
      <c r="C170" s="16"/>
      <c r="D170" s="16"/>
      <c r="E170" s="16"/>
      <c r="F170" s="16"/>
      <c r="G170" s="16"/>
    </row>
    <row r="171" ht="16.5" spans="1:7">
      <c r="A171" s="16"/>
      <c r="B171" s="16"/>
      <c r="C171" s="16"/>
      <c r="D171" s="16"/>
      <c r="E171" s="16"/>
      <c r="F171" s="16"/>
      <c r="G171" s="16"/>
    </row>
    <row r="207" spans="4:4">
      <c r="D207" s="4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K206" etc:filterBottomFollowUsedRange="0">
    <extLst/>
  </autoFilter>
  <dataValidations count="1">
    <dataValidation type="list" allowBlank="1" showInputMessage="1" showErrorMessage="1" sqref="N1:O1">
      <formula1>"是,否"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">
    <filterData filterID="d1151a0fd2c34fe07c957748d45e4654">
      <hiddenRange rowFrom="1" rowTo="8"/>
      <hiddenRange rowFrom="10" rowTo="19"/>
    </filterData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79340890893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WWO_wpscloud_20260203193444-fc5022c9a8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精品班</vt:lpstr>
      <vt:lpstr>一对一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李少阳</cp:lastModifiedBy>
  <dcterms:created xsi:type="dcterms:W3CDTF">2025-11-09T15:28:00Z</dcterms:created>
  <dcterms:modified xsi:type="dcterms:W3CDTF">2026-01-04T03:45:00Z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77BE19CB8612410BAB53E10108B4757F_13</vt:lpwstr>
  </property>
  <property fmtid="{D5CDD505-2E9C-101B-9397-08002B2CF9AE}" pid="3" name="KSOProductBuildVer">
    <vt:lpwstr>2052-12.9.0.25280</vt:lpwstr>
  </property>
  <property fmtid="{D5CDD505-2E9C-101B-9397-08002B2CF9AE}" pid="4" name="CalculationRule">
    <vt:i4>0</vt:i4>
  </property>
</Properties>
</file>