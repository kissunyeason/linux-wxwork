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7月" sheetId="1" r:id="rId1"/>
    <sheet name="Sheet1" sheetId="2" r:id="rId2"/>
  </sheets>
  <definedNames>
    <definedName name="_xlnm._FilterDatabase" localSheetId="0" hidden="1">'7月'!$2:$8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<sst xmlns="http://schemas.openxmlformats.org/spreadsheetml/2006/main" count="69" uniqueCount="56">
  <si>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学科</t>
  </si>
  <si>
    <t>2月任务</t>
  </si>
  <si>
    <t>在册学员</t>
  </si>
  <si>
    <t>在读学员</t>
  </si>
  <si>
    <t>行课率</t>
  </si>
  <si>
    <t>目前生均</t>
  </si>
  <si>
    <t>当日预排</t>
  </si>
  <si>
    <t>当日浮动</t>
  </si>
  <si>
    <t>当日实际</t>
  </si>
  <si>
    <t>明日预排</t>
  </si>
  <si>
    <t>月累计课时</t>
  </si>
  <si>
    <t>月完成率</t>
  </si>
  <si>
    <t>第一周任务</t>
  </si>
  <si>
    <t>第一周实际</t>
  </si>
  <si>
    <t>周完成率</t>
  </si>
  <si>
    <t>第二周任务</t>
  </si>
  <si>
    <t>第二周实际</t>
  </si>
  <si>
    <t>第三周任务</t>
  </si>
  <si>
    <t>第三周实际</t>
  </si>
  <si>
    <t>第四周任务</t>
  </si>
  <si>
    <t>第四周实际</t>
  </si>
  <si>
    <t>25年2月课时</t>
  </si>
  <si>
    <t>初中英语</t>
  </si>
  <si>
    <t>初中文综</t>
  </si>
  <si>
    <t>初数北区</t>
  </si>
  <si>
    <t>初数南区</t>
  </si>
  <si>
    <t>初中语文</t>
  </si>
  <si>
    <t>初中物理</t>
  </si>
  <si>
    <t>初中生化</t>
  </si>
  <si>
    <t>总计</t>
  </si>
  <si>
    <t>学段</t>
  </si>
  <si>
    <t>月任务</t>
  </si>
  <si>
    <t>当日课时</t>
  </si>
  <si>
    <t>累计课时</t>
  </si>
  <si>
    <t>完成率</t>
  </si>
  <si>
    <t>25年1月课时</t>
  </si>
  <si>
    <t>同比增长率</t>
  </si>
  <si>
    <t>初中</t>
  </si>
  <si>
    <t>10月初中课时任务季度</t>
  </si>
  <si>
    <t>学科组</t>
  </si>
  <si>
    <t>任务</t>
  </si>
  <si>
    <t>月完成</t>
  </si>
  <si>
    <t>月差额</t>
  </si>
  <si>
    <t>第1周任务</t>
  </si>
  <si>
    <t>第1周实际</t>
  </si>
  <si>
    <t>第1周差额</t>
  </si>
  <si>
    <t>第2周任务</t>
  </si>
  <si>
    <t>第2周实际</t>
  </si>
  <si>
    <t>第2周差额</t>
  </si>
  <si>
    <t>第3周任务</t>
  </si>
  <si>
    <t>第3周实际</t>
  </si>
  <si>
    <t>第3周差额</t>
  </si>
  <si>
    <t>第4周任务</t>
  </si>
  <si>
    <t>第4周实际</t>
  </si>
  <si>
    <t>第4周差额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</si>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</sst>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/d;@"/>
    <numFmt numFmtId="178" formatCode="0.00_ "/>
    <numFmt numFmtId="179" formatCode="0_);[Red]\(0\)"/>
  </numFmts>
  <fonts count="29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b/>
      <sz val="12"/>
      <color indexed="9"/>
      <name val="微软雅黑"/>
      <charset val="134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0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/>
    </xf>
    <xf numFmtId="176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178" fontId="6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/>
    </xf>
    <xf numFmtId="179" fontId="6" fillId="8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/>
    </xf>
    <xf numFmtId="179" fontId="6" fillId="4" borderId="1" xfId="3" applyNumberFormat="1" applyFont="1" applyFill="1" applyBorder="1" applyAlignment="1">
      <alignment horizontal="center" vertical="center"/>
    </xf>
    <xf numFmtId="9" fontId="6" fillId="4" borderId="1" xfId="3" applyFont="1" applyFill="1" applyBorder="1" applyAlignment="1">
      <alignment horizontal="center" vertical="center"/>
    </xf>
    <xf numFmtId="0" fontId="6" fillId="4" borderId="1" xfId="3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79" fontId="8" fillId="5" borderId="1" xfId="3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6" fillId="9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6" fontId="6" fillId="9" borderId="1" xfId="0" applyNumberFormat="1" applyFont="1" applyFill="1" applyBorder="1" applyAlignment="1">
      <alignment horizontal="center" vertical="center"/>
    </xf>
    <xf numFmtId="9" fontId="7" fillId="9" borderId="1" xfId="0" applyNumberFormat="1" applyFont="1" applyFill="1" applyBorder="1" applyAlignment="1">
      <alignment horizontal="center" vertical="center"/>
    </xf>
    <xf numFmtId="10" fontId="6" fillId="9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4"/>
  <sheetViews>
    <sheetView tabSelected="1" zoomScale="70" zoomScaleNormal="70" workbookViewId="0">
      <pane xSplit="5" topLeftCell="F1" activePane="topRight" state="frozen"/>
      <selection/>
      <selection pane="topRight" activeCell="AM15" sqref="AM15"/>
    </sheetView>
  </sheetViews>
  <sheetFormatPr defaultColWidth="8.5" defaultRowHeight="14"/>
  <cols>
    <col min="1" max="1" width="10.6416666666667" style="8" customWidth="1"/>
    <col min="2" max="2" width="10.8583333333333" style="8" customWidth="1"/>
    <col min="3" max="3" width="10.6416666666667" style="8" customWidth="1"/>
    <col min="4" max="5" width="10.3583333333333" style="8" customWidth="1"/>
    <col min="6" max="6" width="14" style="8" customWidth="1"/>
    <col min="7" max="7" width="10.3583333333333" style="8" customWidth="1"/>
    <col min="8" max="8" width="15.6416666666667" style="8" customWidth="1"/>
    <col min="9" max="9" width="12.3583333333333" style="8" customWidth="1"/>
    <col min="10" max="10" width="10.3583333333333" style="8" customWidth="1"/>
    <col min="11" max="11" width="12.3583333333333" style="8" customWidth="1"/>
    <col min="12" max="12" width="10.3583333333333" style="8" customWidth="1"/>
    <col min="13" max="14" width="12.3583333333333" style="8" customWidth="1"/>
    <col min="15" max="15" width="10.1416666666667" style="8" customWidth="1"/>
    <col min="16" max="23" width="8.35833333333333" style="8" customWidth="1"/>
    <col min="24" max="24" width="12.6416666666667" style="8" customWidth="1"/>
    <col min="25" max="25" width="12.3583333333333" style="8" customWidth="1"/>
    <col min="26" max="27" width="10.3583333333333" style="8" customWidth="1"/>
    <col min="28" max="35" width="12.3583333333333" style="8" customWidth="1"/>
    <col min="36" max="37" width="10.6416666666667" style="8" customWidth="1"/>
    <col min="38" max="38" width="13.1416666666667" style="8" customWidth="1"/>
    <col min="39" max="39" width="14" style="8" customWidth="1"/>
    <col min="40" max="40" width="10.6416666666667" style="8" customWidth="1"/>
    <col min="41" max="46" width="8.5" style="8" customWidth="1"/>
    <col min="47" max="47" width="15.6416666666667" style="8" customWidth="1"/>
    <col min="48" max="16354" width="8.5" style="8"/>
  </cols>
  <sheetData>
    <row r="1" ht="16.5" spans="1:4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>
        <v>46054</v>
      </c>
      <c r="Q1" s="10">
        <v>46055</v>
      </c>
      <c r="R1" s="10">
        <v>46056</v>
      </c>
      <c r="S1" s="10">
        <v>46057</v>
      </c>
      <c r="T1" s="10">
        <v>46058</v>
      </c>
      <c r="U1" s="10">
        <v>46059</v>
      </c>
      <c r="V1" s="10">
        <v>46060</v>
      </c>
      <c r="W1" s="10">
        <v>46061</v>
      </c>
      <c r="X1" s="10" t="s">
        <v>15</v>
      </c>
      <c r="Y1" s="10" t="s">
        <v>16</v>
      </c>
      <c r="Z1" s="10" t="s">
        <v>14</v>
      </c>
      <c r="AA1" s="10">
        <v>46062</v>
      </c>
      <c r="AB1" s="10">
        <v>46063</v>
      </c>
      <c r="AC1" s="10">
        <v>46064</v>
      </c>
      <c r="AD1" s="10">
        <v>46065</v>
      </c>
      <c r="AE1" s="10">
        <v>46066</v>
      </c>
      <c r="AF1" s="10">
        <v>46067</v>
      </c>
      <c r="AG1" s="10">
        <v>46068</v>
      </c>
      <c r="AH1" s="10" t="s">
        <v>17</v>
      </c>
      <c r="AI1" s="10" t="s">
        <v>18</v>
      </c>
      <c r="AJ1" s="10" t="s">
        <v>14</v>
      </c>
      <c r="AK1" s="10">
        <v>46075</v>
      </c>
      <c r="AL1" s="10" t="s">
        <v>19</v>
      </c>
      <c r="AM1" s="10" t="s">
        <v>20</v>
      </c>
      <c r="AN1" s="10" t="s">
        <v>14</v>
      </c>
      <c r="AO1" s="10">
        <v>46076</v>
      </c>
      <c r="AP1" s="10">
        <v>46077</v>
      </c>
      <c r="AQ1" s="10">
        <v>46078</v>
      </c>
      <c r="AR1" s="10">
        <v>46079</v>
      </c>
      <c r="AS1" s="10">
        <v>46080</v>
      </c>
      <c r="AT1" s="10">
        <v>46081</v>
      </c>
      <c r="AU1" s="11" t="s">
        <v>21</v>
      </c>
    </row>
    <row r="2" customFormat="1" ht="16.5" spans="1:47">
      <c r="A2" s="12" t="s">
        <v>22</v>
      </c>
      <c r="B2" s="13">
        <v>2059</v>
      </c>
      <c r="C2" s="12">
        <v>69</v>
      </c>
      <c r="D2" s="12">
        <v>53</v>
      </c>
      <c r="E2" s="14">
        <f t="shared" ref="E2:E8" si="0">D2/C2</f>
        <v>0.768115942028985</v>
      </c>
      <c r="F2" s="15">
        <f t="shared" ref="F2:F8" si="1">K2/D2</f>
        <v>0</v>
      </c>
      <c r="G2" s="16"/>
      <c r="H2" s="17">
        <f t="shared" ref="H2:H8" si="2">I2-G2</f>
        <v>0</v>
      </c>
      <c r="I2" s="16"/>
      <c r="J2" s="18"/>
      <c r="K2" s="19">
        <f t="shared" ref="K2:K8" si="3">N2+Y2+AI2+AM2</f>
        <v>0</v>
      </c>
      <c r="L2" s="20">
        <f t="shared" ref="L2:L8" si="4">K2/B2</f>
        <v>0</v>
      </c>
      <c r="M2" s="21">
        <f>B2*0.28</f>
        <v>576.52</v>
      </c>
      <c r="N2" s="13">
        <f t="shared" ref="N2:N8" si="5">SUM(P2:W2)</f>
        <v>0</v>
      </c>
      <c r="O2" s="22">
        <f t="shared" ref="O2:O8" si="6">N2/M2</f>
        <v>0</v>
      </c>
      <c r="P2" s="21"/>
      <c r="Q2" s="21"/>
      <c r="R2" s="21"/>
      <c r="S2" s="21"/>
      <c r="T2" s="21"/>
      <c r="U2" s="21"/>
      <c r="V2" s="21"/>
      <c r="W2" s="21"/>
      <c r="X2" s="21">
        <f>B2*0.39</f>
        <v>803.01</v>
      </c>
      <c r="Y2" s="13">
        <f t="shared" ref="Y2:Y8" si="7">SUM(AA2:AG2)</f>
        <v>0</v>
      </c>
      <c r="Z2" s="22">
        <f t="shared" ref="Z2:Z9" si="8">Y2/X2</f>
        <v>0</v>
      </c>
      <c r="AA2" s="21"/>
      <c r="AB2" s="21"/>
      <c r="AC2" s="21"/>
      <c r="AD2" s="21"/>
      <c r="AE2" s="21"/>
      <c r="AF2" s="21"/>
      <c r="AG2" s="21"/>
      <c r="AH2" s="21">
        <f>B2*0.05</f>
        <v>102.95</v>
      </c>
      <c r="AI2" s="13">
        <f>AK2</f>
        <v>0</v>
      </c>
      <c r="AJ2" s="22">
        <f t="shared" ref="AJ2:AJ9" si="9">AI2/AH2</f>
        <v>0</v>
      </c>
      <c r="AK2" s="21"/>
      <c r="AL2" s="13">
        <f>B2*0.33</f>
        <v>679.47</v>
      </c>
      <c r="AM2" s="13">
        <f t="shared" ref="AM2:AM8" si="10">SUM(AO2:AT2)</f>
        <v>0</v>
      </c>
      <c r="AN2" s="22">
        <f t="shared" ref="AN2:AN9" si="11">AM2/AL2</f>
        <v>0</v>
      </c>
      <c r="AO2" s="23"/>
      <c r="AP2" s="23"/>
      <c r="AQ2" s="23"/>
      <c r="AR2" s="23"/>
      <c r="AS2" s="23"/>
      <c r="AT2" s="23"/>
      <c r="AU2" s="12">
        <v>1427.5</v>
      </c>
    </row>
    <row r="3" customFormat="1" ht="16.5" spans="1:47">
      <c r="A3" s="12" t="s">
        <v>23</v>
      </c>
      <c r="B3" s="13">
        <v>750</v>
      </c>
      <c r="C3" s="12">
        <v>35</v>
      </c>
      <c r="D3" s="12">
        <v>18</v>
      </c>
      <c r="E3" s="14">
        <f t="shared" si="0"/>
        <v>0.514285714285714</v>
      </c>
      <c r="F3" s="15">
        <f t="shared" si="1"/>
        <v>0</v>
      </c>
      <c r="G3" s="16"/>
      <c r="H3" s="17">
        <f t="shared" si="2"/>
        <v>0</v>
      </c>
      <c r="I3" s="16"/>
      <c r="J3" s="18"/>
      <c r="K3" s="19">
        <f t="shared" si="3"/>
        <v>0</v>
      </c>
      <c r="L3" s="20">
        <f t="shared" si="4"/>
        <v>0</v>
      </c>
      <c r="M3" s="21">
        <f t="shared" ref="M3:M8" si="12">B3*0.28</f>
        <v>210</v>
      </c>
      <c r="N3" s="13">
        <f t="shared" si="5"/>
        <v>0</v>
      </c>
      <c r="O3" s="22">
        <f t="shared" si="6"/>
        <v>0</v>
      </c>
      <c r="P3" s="21"/>
      <c r="Q3" s="21"/>
      <c r="R3" s="21"/>
      <c r="S3" s="21"/>
      <c r="T3" s="21"/>
      <c r="U3" s="21"/>
      <c r="V3" s="21"/>
      <c r="W3" s="21"/>
      <c r="X3" s="21">
        <f t="shared" ref="X3:X8" si="13">B3*0.39</f>
        <v>292.5</v>
      </c>
      <c r="Y3" s="13">
        <f t="shared" si="7"/>
        <v>0</v>
      </c>
      <c r="Z3" s="22">
        <f t="shared" si="8"/>
        <v>0</v>
      </c>
      <c r="AA3" s="21"/>
      <c r="AB3" s="21"/>
      <c r="AC3" s="21"/>
      <c r="AD3" s="21"/>
      <c r="AE3" s="21"/>
      <c r="AF3" s="21"/>
      <c r="AG3" s="21"/>
      <c r="AH3" s="21">
        <f t="shared" ref="AH3:AH8" si="14">B3*0.05</f>
        <v>37.5</v>
      </c>
      <c r="AI3" s="13">
        <f t="shared" ref="AI3:AI8" si="15">AK3</f>
        <v>0</v>
      </c>
      <c r="AJ3" s="22">
        <f t="shared" si="9"/>
        <v>0</v>
      </c>
      <c r="AK3" s="21"/>
      <c r="AL3" s="13">
        <f t="shared" ref="AL3:AL8" si="16">B3*0.33</f>
        <v>247.5</v>
      </c>
      <c r="AM3" s="13">
        <f t="shared" si="10"/>
        <v>0</v>
      </c>
      <c r="AN3" s="22">
        <f t="shared" si="11"/>
        <v>0</v>
      </c>
      <c r="AO3" s="23"/>
      <c r="AP3" s="23"/>
      <c r="AQ3" s="23"/>
      <c r="AR3" s="23"/>
      <c r="AS3" s="23"/>
      <c r="AT3" s="23"/>
      <c r="AU3" s="12">
        <v>769</v>
      </c>
    </row>
    <row r="4" customFormat="1" ht="16.5" spans="1:47">
      <c r="A4" s="12" t="s">
        <v>24</v>
      </c>
      <c r="B4" s="13">
        <v>1515</v>
      </c>
      <c r="C4" s="12">
        <v>91</v>
      </c>
      <c r="D4" s="12">
        <v>68</v>
      </c>
      <c r="E4" s="14">
        <f t="shared" si="0"/>
        <v>0.747252747252747</v>
      </c>
      <c r="F4" s="15">
        <f t="shared" si="1"/>
        <v>0</v>
      </c>
      <c r="G4" s="16"/>
      <c r="H4" s="17">
        <f t="shared" si="2"/>
        <v>0</v>
      </c>
      <c r="I4" s="16"/>
      <c r="J4" s="18"/>
      <c r="K4" s="19">
        <f t="shared" si="3"/>
        <v>0</v>
      </c>
      <c r="L4" s="20">
        <f t="shared" si="4"/>
        <v>0</v>
      </c>
      <c r="M4" s="21">
        <f t="shared" si="12"/>
        <v>424.2</v>
      </c>
      <c r="N4" s="13">
        <f t="shared" si="5"/>
        <v>0</v>
      </c>
      <c r="O4" s="22">
        <f t="shared" si="6"/>
        <v>0</v>
      </c>
      <c r="P4" s="21"/>
      <c r="Q4" s="21"/>
      <c r="R4" s="21"/>
      <c r="S4" s="21"/>
      <c r="T4" s="21"/>
      <c r="U4" s="21"/>
      <c r="V4" s="21"/>
      <c r="W4" s="21"/>
      <c r="X4" s="21">
        <f t="shared" si="13"/>
        <v>590.85</v>
      </c>
      <c r="Y4" s="13">
        <f t="shared" si="7"/>
        <v>0</v>
      </c>
      <c r="Z4" s="22">
        <f t="shared" si="8"/>
        <v>0</v>
      </c>
      <c r="AA4" s="21"/>
      <c r="AB4" s="21"/>
      <c r="AC4" s="21"/>
      <c r="AD4" s="21"/>
      <c r="AE4" s="21"/>
      <c r="AF4" s="21"/>
      <c r="AG4" s="21"/>
      <c r="AH4" s="21">
        <f t="shared" si="14"/>
        <v>75.75</v>
      </c>
      <c r="AI4" s="13">
        <f t="shared" si="15"/>
        <v>0</v>
      </c>
      <c r="AJ4" s="22">
        <f t="shared" si="9"/>
        <v>0</v>
      </c>
      <c r="AK4" s="21"/>
      <c r="AL4" s="13">
        <f t="shared" si="16"/>
        <v>499.95</v>
      </c>
      <c r="AM4" s="13">
        <f t="shared" si="10"/>
        <v>0</v>
      </c>
      <c r="AN4" s="22">
        <f t="shared" si="11"/>
        <v>0</v>
      </c>
      <c r="AO4" s="23"/>
      <c r="AP4" s="23"/>
      <c r="AQ4" s="23"/>
      <c r="AR4" s="23"/>
      <c r="AS4" s="23"/>
      <c r="AT4" s="23"/>
      <c r="AU4" s="12">
        <v>985</v>
      </c>
    </row>
    <row r="5" customFormat="1" ht="16.5" spans="1:47">
      <c r="A5" s="12" t="s">
        <v>25</v>
      </c>
      <c r="B5" s="13">
        <v>1891</v>
      </c>
      <c r="C5" s="12">
        <v>160</v>
      </c>
      <c r="D5" s="12">
        <v>125</v>
      </c>
      <c r="E5" s="14">
        <f t="shared" si="0"/>
        <v>0.78125</v>
      </c>
      <c r="F5" s="15">
        <f t="shared" si="1"/>
        <v>0</v>
      </c>
      <c r="G5" s="16"/>
      <c r="H5" s="17">
        <f t="shared" si="2"/>
        <v>0</v>
      </c>
      <c r="I5" s="16"/>
      <c r="J5" s="24"/>
      <c r="K5" s="19">
        <f t="shared" si="3"/>
        <v>0</v>
      </c>
      <c r="L5" s="20">
        <f t="shared" si="4"/>
        <v>0</v>
      </c>
      <c r="M5" s="21">
        <f t="shared" si="12"/>
        <v>529.48</v>
      </c>
      <c r="N5" s="13">
        <f t="shared" si="5"/>
        <v>0</v>
      </c>
      <c r="O5" s="22">
        <f t="shared" si="6"/>
        <v>0</v>
      </c>
      <c r="P5" s="21"/>
      <c r="Q5" s="21"/>
      <c r="R5" s="21"/>
      <c r="S5" s="21"/>
      <c r="T5" s="21"/>
      <c r="U5" s="21"/>
      <c r="V5" s="21"/>
      <c r="W5" s="21"/>
      <c r="X5" s="21">
        <f t="shared" si="13"/>
        <v>737.49</v>
      </c>
      <c r="Y5" s="13">
        <f t="shared" si="7"/>
        <v>0</v>
      </c>
      <c r="Z5" s="22">
        <f t="shared" si="8"/>
        <v>0</v>
      </c>
      <c r="AA5" s="21"/>
      <c r="AB5" s="21"/>
      <c r="AC5" s="21"/>
      <c r="AD5" s="21"/>
      <c r="AE5" s="21"/>
      <c r="AF5" s="21"/>
      <c r="AG5" s="21"/>
      <c r="AH5" s="21">
        <f t="shared" si="14"/>
        <v>94.55</v>
      </c>
      <c r="AI5" s="13">
        <f t="shared" si="15"/>
        <v>0</v>
      </c>
      <c r="AJ5" s="22">
        <f t="shared" si="9"/>
        <v>0</v>
      </c>
      <c r="AK5" s="21"/>
      <c r="AL5" s="13">
        <f t="shared" si="16"/>
        <v>624.03</v>
      </c>
      <c r="AM5" s="13">
        <f t="shared" si="10"/>
        <v>0</v>
      </c>
      <c r="AN5" s="22">
        <f t="shared" si="11"/>
        <v>0</v>
      </c>
      <c r="AO5" s="23"/>
      <c r="AP5" s="23"/>
      <c r="AQ5" s="23"/>
      <c r="AR5" s="23"/>
      <c r="AS5" s="23"/>
      <c r="AT5" s="23"/>
      <c r="AU5" s="12">
        <v>1263</v>
      </c>
    </row>
    <row r="6" customFormat="1" ht="16.5" spans="1:47">
      <c r="A6" s="12" t="s">
        <v>26</v>
      </c>
      <c r="B6" s="13">
        <v>919</v>
      </c>
      <c r="C6" s="12">
        <v>56</v>
      </c>
      <c r="D6" s="12">
        <v>46</v>
      </c>
      <c r="E6" s="14">
        <f t="shared" si="0"/>
        <v>0.821428571428571</v>
      </c>
      <c r="F6" s="15">
        <f t="shared" si="1"/>
        <v>0</v>
      </c>
      <c r="G6" s="16"/>
      <c r="H6" s="17">
        <f t="shared" si="2"/>
        <v>0</v>
      </c>
      <c r="I6" s="16"/>
      <c r="J6" s="18"/>
      <c r="K6" s="19">
        <f t="shared" si="3"/>
        <v>0</v>
      </c>
      <c r="L6" s="20">
        <f t="shared" si="4"/>
        <v>0</v>
      </c>
      <c r="M6" s="21">
        <f t="shared" si="12"/>
        <v>257.32</v>
      </c>
      <c r="N6" s="13">
        <f t="shared" si="5"/>
        <v>0</v>
      </c>
      <c r="O6" s="22">
        <f t="shared" si="6"/>
        <v>0</v>
      </c>
      <c r="P6" s="21"/>
      <c r="Q6" s="21"/>
      <c r="R6" s="21"/>
      <c r="S6" s="21"/>
      <c r="T6" s="21"/>
      <c r="U6" s="21"/>
      <c r="V6" s="21"/>
      <c r="W6" s="21"/>
      <c r="X6" s="21">
        <f t="shared" si="13"/>
        <v>358.41</v>
      </c>
      <c r="Y6" s="13">
        <f t="shared" si="7"/>
        <v>0</v>
      </c>
      <c r="Z6" s="22">
        <f t="shared" si="8"/>
        <v>0</v>
      </c>
      <c r="AA6" s="21"/>
      <c r="AB6" s="21"/>
      <c r="AC6" s="21"/>
      <c r="AD6" s="21"/>
      <c r="AE6" s="21"/>
      <c r="AF6" s="21"/>
      <c r="AG6" s="21"/>
      <c r="AH6" s="21">
        <f t="shared" si="14"/>
        <v>45.95</v>
      </c>
      <c r="AI6" s="13">
        <f t="shared" si="15"/>
        <v>0</v>
      </c>
      <c r="AJ6" s="22">
        <f t="shared" si="9"/>
        <v>0</v>
      </c>
      <c r="AK6" s="21"/>
      <c r="AL6" s="13">
        <f t="shared" si="16"/>
        <v>303.27</v>
      </c>
      <c r="AM6" s="13">
        <f t="shared" si="10"/>
        <v>0</v>
      </c>
      <c r="AN6" s="22">
        <f t="shared" si="11"/>
        <v>0</v>
      </c>
      <c r="AO6" s="23"/>
      <c r="AP6" s="23"/>
      <c r="AQ6" s="23"/>
      <c r="AR6" s="23"/>
      <c r="AS6" s="23"/>
      <c r="AT6" s="23"/>
      <c r="AU6" s="12">
        <v>491.5</v>
      </c>
    </row>
    <row r="7" customFormat="1" ht="16.5" spans="1:47">
      <c r="A7" s="12" t="s">
        <v>27</v>
      </c>
      <c r="B7" s="13">
        <v>1447</v>
      </c>
      <c r="C7" s="12">
        <v>90</v>
      </c>
      <c r="D7" s="12">
        <v>68</v>
      </c>
      <c r="E7" s="14">
        <f t="shared" si="0"/>
        <v>0.755555555555556</v>
      </c>
      <c r="F7" s="15">
        <f t="shared" si="1"/>
        <v>0</v>
      </c>
      <c r="G7" s="16"/>
      <c r="H7" s="17">
        <f t="shared" si="2"/>
        <v>0</v>
      </c>
      <c r="I7" s="16"/>
      <c r="J7" s="24"/>
      <c r="K7" s="19">
        <f t="shared" si="3"/>
        <v>0</v>
      </c>
      <c r="L7" s="20">
        <f t="shared" si="4"/>
        <v>0</v>
      </c>
      <c r="M7" s="21">
        <f t="shared" si="12"/>
        <v>405.16</v>
      </c>
      <c r="N7" s="13">
        <f t="shared" si="5"/>
        <v>0</v>
      </c>
      <c r="O7" s="22">
        <f t="shared" si="6"/>
        <v>0</v>
      </c>
      <c r="P7" s="21"/>
      <c r="Q7" s="21"/>
      <c r="R7" s="21"/>
      <c r="S7" s="21"/>
      <c r="T7" s="21"/>
      <c r="U7" s="21"/>
      <c r="V7" s="21"/>
      <c r="W7" s="21"/>
      <c r="X7" s="21">
        <f t="shared" si="13"/>
        <v>564.33</v>
      </c>
      <c r="Y7" s="13">
        <f t="shared" si="7"/>
        <v>0</v>
      </c>
      <c r="Z7" s="22">
        <f t="shared" si="8"/>
        <v>0</v>
      </c>
      <c r="AA7" s="21"/>
      <c r="AB7" s="21"/>
      <c r="AC7" s="21"/>
      <c r="AD7" s="21"/>
      <c r="AE7" s="21"/>
      <c r="AF7" s="21"/>
      <c r="AG7" s="21"/>
      <c r="AH7" s="21">
        <f t="shared" si="14"/>
        <v>72.35</v>
      </c>
      <c r="AI7" s="13">
        <f t="shared" si="15"/>
        <v>0</v>
      </c>
      <c r="AJ7" s="22">
        <f t="shared" si="9"/>
        <v>0</v>
      </c>
      <c r="AK7" s="21"/>
      <c r="AL7" s="13">
        <f t="shared" si="16"/>
        <v>477.51</v>
      </c>
      <c r="AM7" s="13">
        <f t="shared" si="10"/>
        <v>0</v>
      </c>
      <c r="AN7" s="22">
        <f t="shared" si="11"/>
        <v>0</v>
      </c>
      <c r="AO7" s="23"/>
      <c r="AP7" s="23"/>
      <c r="AQ7" s="23"/>
      <c r="AR7" s="23"/>
      <c r="AS7" s="23"/>
      <c r="AT7" s="23"/>
      <c r="AU7" s="12">
        <v>911.5</v>
      </c>
    </row>
    <row r="8" customFormat="1" ht="16.5" spans="1:47">
      <c r="A8" s="12" t="s">
        <v>28</v>
      </c>
      <c r="B8" s="13">
        <v>609</v>
      </c>
      <c r="C8" s="12">
        <v>78</v>
      </c>
      <c r="D8" s="12">
        <v>56</v>
      </c>
      <c r="E8" s="14">
        <f t="shared" si="0"/>
        <v>0.717948717948718</v>
      </c>
      <c r="F8" s="15">
        <f t="shared" si="1"/>
        <v>0</v>
      </c>
      <c r="G8" s="16"/>
      <c r="H8" s="17">
        <f t="shared" si="2"/>
        <v>0</v>
      </c>
      <c r="I8" s="16"/>
      <c r="J8" s="18"/>
      <c r="K8" s="19">
        <f t="shared" si="3"/>
        <v>0</v>
      </c>
      <c r="L8" s="20">
        <f t="shared" si="4"/>
        <v>0</v>
      </c>
      <c r="M8" s="21">
        <f t="shared" si="12"/>
        <v>170.52</v>
      </c>
      <c r="N8" s="13">
        <f t="shared" si="5"/>
        <v>0</v>
      </c>
      <c r="O8" s="22">
        <f t="shared" si="6"/>
        <v>0</v>
      </c>
      <c r="P8" s="21"/>
      <c r="Q8" s="21"/>
      <c r="R8" s="21"/>
      <c r="S8" s="21"/>
      <c r="T8" s="21"/>
      <c r="U8" s="21"/>
      <c r="V8" s="21"/>
      <c r="W8" s="21"/>
      <c r="X8" s="21">
        <f t="shared" si="13"/>
        <v>237.51</v>
      </c>
      <c r="Y8" s="13">
        <f t="shared" si="7"/>
        <v>0</v>
      </c>
      <c r="Z8" s="22">
        <f t="shared" si="8"/>
        <v>0</v>
      </c>
      <c r="AA8" s="21"/>
      <c r="AB8" s="21"/>
      <c r="AC8" s="21"/>
      <c r="AD8" s="21"/>
      <c r="AE8" s="21"/>
      <c r="AF8" s="21"/>
      <c r="AG8" s="21"/>
      <c r="AH8" s="21">
        <f t="shared" si="14"/>
        <v>30.45</v>
      </c>
      <c r="AI8" s="13">
        <f t="shared" si="15"/>
        <v>0</v>
      </c>
      <c r="AJ8" s="22">
        <f t="shared" si="9"/>
        <v>0</v>
      </c>
      <c r="AK8" s="21"/>
      <c r="AL8" s="13">
        <f t="shared" si="16"/>
        <v>200.97</v>
      </c>
      <c r="AM8" s="13">
        <f t="shared" si="10"/>
        <v>0</v>
      </c>
      <c r="AN8" s="22">
        <f t="shared" si="11"/>
        <v>0</v>
      </c>
      <c r="AO8" s="23"/>
      <c r="AP8" s="23"/>
      <c r="AQ8" s="23"/>
      <c r="AR8" s="23"/>
      <c r="AS8" s="23"/>
      <c r="AT8" s="23"/>
      <c r="AU8" s="12">
        <v>593.5</v>
      </c>
    </row>
    <row r="9" customFormat="1" ht="16.5" spans="1:47">
      <c r="A9" s="25" t="s">
        <v>29</v>
      </c>
      <c r="B9" s="26">
        <f>SUM(B2:B8)</f>
        <v>9190</v>
      </c>
      <c r="C9" s="26">
        <f>SUM('7月'!C2:C8)</f>
        <v>579</v>
      </c>
      <c r="D9" s="26">
        <f>SUM('7月'!D2:D8)</f>
        <v>434</v>
      </c>
      <c r="E9" s="27">
        <f t="shared" ref="E9" si="17">D9/C9</f>
        <v>0.749568221070812</v>
      </c>
      <c r="F9" s="28">
        <f t="shared" ref="F9" si="18">K9/D9</f>
        <v>0</v>
      </c>
      <c r="G9" s="26">
        <f>SUM('7月'!G2:G8)</f>
        <v>0</v>
      </c>
      <c r="H9" s="26">
        <f t="shared" ref="H9" si="19">I9-G9</f>
        <v>0</v>
      </c>
      <c r="I9" s="26">
        <f>SUM('7月'!I2:I8)</f>
        <v>0</v>
      </c>
      <c r="J9" s="26">
        <f>SUM('7月'!J2:J8)</f>
        <v>0</v>
      </c>
      <c r="K9" s="26">
        <f>SUM(K2:K8)</f>
        <v>0</v>
      </c>
      <c r="L9" s="27">
        <f t="shared" ref="L9" si="20">K9/B9</f>
        <v>0</v>
      </c>
      <c r="M9" s="29">
        <f>SUM(M2:M8)</f>
        <v>2573.2</v>
      </c>
      <c r="N9" s="29">
        <f>SUM(N2:N8)</f>
        <v>0</v>
      </c>
      <c r="O9" s="27">
        <f t="shared" ref="O9" si="21">N9/M9</f>
        <v>0</v>
      </c>
      <c r="P9" s="30">
        <f>SUM(P2:P8)</f>
        <v>0</v>
      </c>
      <c r="Q9" s="30">
        <f t="shared" ref="Q9:W9" si="22">SUM(Q2:Q8)</f>
        <v>0</v>
      </c>
      <c r="R9" s="30">
        <f t="shared" si="22"/>
        <v>0</v>
      </c>
      <c r="S9" s="30">
        <f t="shared" si="22"/>
        <v>0</v>
      </c>
      <c r="T9" s="30">
        <f t="shared" si="22"/>
        <v>0</v>
      </c>
      <c r="U9" s="30">
        <f t="shared" si="22"/>
        <v>0</v>
      </c>
      <c r="V9" s="30">
        <f t="shared" si="22"/>
        <v>0</v>
      </c>
      <c r="W9" s="30">
        <f t="shared" si="22"/>
        <v>0</v>
      </c>
      <c r="X9" s="29">
        <f>SUM(X2:X8)</f>
        <v>3584.1</v>
      </c>
      <c r="Y9" s="25">
        <f>SUM(Y2:Y8)</f>
        <v>0</v>
      </c>
      <c r="Z9" s="27">
        <f t="shared" si="8"/>
        <v>0</v>
      </c>
      <c r="AA9" s="30">
        <f>SUM(AA2:AA8)</f>
        <v>0</v>
      </c>
      <c r="AB9" s="30"/>
      <c r="AC9" s="30"/>
      <c r="AD9" s="30"/>
      <c r="AE9" s="30"/>
      <c r="AF9" s="30">
        <f>SUM(AF2:AF8)</f>
        <v>0</v>
      </c>
      <c r="AG9" s="30">
        <f>SUM(AG2:AG8)</f>
        <v>0</v>
      </c>
      <c r="AH9" s="29">
        <f>SUM(AH2:AH8)</f>
        <v>459.5</v>
      </c>
      <c r="AI9" s="29">
        <f>SUM(AI2:AI8)</f>
        <v>0</v>
      </c>
      <c r="AJ9" s="27">
        <f t="shared" si="9"/>
        <v>0</v>
      </c>
      <c r="AK9" s="25">
        <f>SUM(AK2:AK8)</f>
        <v>0</v>
      </c>
      <c r="AL9" s="29">
        <f>SUM(AL2:AL8)</f>
        <v>3032.7</v>
      </c>
      <c r="AM9" s="25">
        <f>SUM(AM2:AM8)</f>
        <v>0</v>
      </c>
      <c r="AN9" s="27">
        <f t="shared" si="11"/>
        <v>0</v>
      </c>
      <c r="AO9" s="25">
        <f>SUM(AO2:AO8)</f>
        <v>0</v>
      </c>
      <c r="AP9" s="25">
        <f>SUM(AP2:AP8)</f>
        <v>0</v>
      </c>
      <c r="AQ9" s="25">
        <f>SUM(AQ2:AQ8)</f>
        <v>0</v>
      </c>
      <c r="AR9" s="25">
        <f>SUM(AR2:AR8)</f>
        <v>0</v>
      </c>
      <c r="AS9" s="25">
        <f>SUM(AS2:AS8)</f>
        <v>0</v>
      </c>
      <c r="AT9" s="25">
        <f>SUM(AT2:AT8)</f>
        <v>0</v>
      </c>
      <c r="AU9" s="26">
        <f>SUM(AU2:AU8)</f>
        <v>6441</v>
      </c>
    </row>
    <row r="11" ht="16.5" spans="1:47">
      <c r="B11" s="11" t="s">
        <v>30</v>
      </c>
      <c r="C11" s="11" t="s">
        <v>0</v>
      </c>
      <c r="D11" s="11" t="s">
        <v>31</v>
      </c>
      <c r="E11" s="11" t="s">
        <v>32</v>
      </c>
      <c r="F11" s="11" t="s">
        <v>33</v>
      </c>
      <c r="G11" s="11" t="s">
        <v>34</v>
      </c>
      <c r="H11" s="11" t="s">
        <v>35</v>
      </c>
      <c r="I11" s="11" t="s">
        <v>36</v>
      </c>
      <c r="L11" s="31"/>
      <c r="M11" s="32"/>
      <c r="O11" s="32"/>
      <c r="P11" s="32"/>
      <c r="Q11" s="32"/>
      <c r="R11" s="32"/>
      <c r="S11" s="32"/>
      <c r="T11" s="32"/>
      <c r="U11" s="32"/>
      <c r="V11" s="32"/>
      <c r="W11" s="32"/>
    </row>
    <row r="12" ht="16.5" spans="1:47">
      <c r="B12" s="33" t="s">
        <v>37</v>
      </c>
      <c r="C12" s="12" t="str">
        <f>A2</f>
        <v>初中英语</v>
      </c>
      <c r="D12" s="13">
        <f>B2</f>
        <v>2059</v>
      </c>
      <c r="E12" s="34">
        <f>I2</f>
        <v>0</v>
      </c>
      <c r="F12" s="12">
        <f>K2</f>
        <v>0</v>
      </c>
      <c r="G12" s="20">
        <f t="shared" ref="G12:G19" si="23">F12/D12</f>
        <v>0</v>
      </c>
      <c r="H12" s="12">
        <f>AU2</f>
        <v>1427.5</v>
      </c>
      <c r="I12" s="35">
        <f>(F12-H12)/H12</f>
        <v>-1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ht="16.5" spans="1:47">
      <c r="B13" s="36"/>
      <c r="C13" s="12" t="str">
        <f t="shared" ref="C13:C18" si="24">A3</f>
        <v>初中文综</v>
      </c>
      <c r="D13" s="13">
        <f t="shared" ref="D13:D18" si="25">B3</f>
        <v>750</v>
      </c>
      <c r="E13" s="34">
        <f t="shared" ref="E13:E18" si="26">I3</f>
        <v>0</v>
      </c>
      <c r="F13" s="12">
        <f t="shared" ref="F13:F18" si="27">K3</f>
        <v>0</v>
      </c>
      <c r="G13" s="20">
        <f t="shared" si="23"/>
        <v>0</v>
      </c>
      <c r="H13" s="12">
        <f t="shared" ref="H13:H18" si="28">AU3</f>
        <v>769</v>
      </c>
      <c r="I13" s="35">
        <f t="shared" ref="I13:I19" si="29">(F13-H13)/H13</f>
        <v>-1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ht="16.5" spans="1:47">
      <c r="B14" s="36"/>
      <c r="C14" s="12" t="str">
        <f t="shared" si="24"/>
        <v>初数北区</v>
      </c>
      <c r="D14" s="13">
        <f t="shared" si="25"/>
        <v>1515</v>
      </c>
      <c r="E14" s="34">
        <f t="shared" si="26"/>
        <v>0</v>
      </c>
      <c r="F14" s="12">
        <f t="shared" si="27"/>
        <v>0</v>
      </c>
      <c r="G14" s="20">
        <f t="shared" si="23"/>
        <v>0</v>
      </c>
      <c r="H14" s="12">
        <f t="shared" si="28"/>
        <v>985</v>
      </c>
      <c r="I14" s="35">
        <f t="shared" si="29"/>
        <v>-1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ht="16.5" spans="1:47">
      <c r="B15" s="36"/>
      <c r="C15" s="12" t="str">
        <f t="shared" si="24"/>
        <v>初数南区</v>
      </c>
      <c r="D15" s="13">
        <f t="shared" si="25"/>
        <v>1891</v>
      </c>
      <c r="E15" s="34">
        <f t="shared" si="26"/>
        <v>0</v>
      </c>
      <c r="F15" s="12">
        <f t="shared" si="27"/>
        <v>0</v>
      </c>
      <c r="G15" s="20">
        <f t="shared" si="23"/>
        <v>0</v>
      </c>
      <c r="H15" s="12">
        <f t="shared" si="28"/>
        <v>1263</v>
      </c>
      <c r="I15" s="35">
        <f t="shared" si="29"/>
        <v>-1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ht="16.5" spans="1:47">
      <c r="B16" s="36"/>
      <c r="C16" s="12" t="str">
        <f t="shared" si="24"/>
        <v>初中语文</v>
      </c>
      <c r="D16" s="13">
        <f t="shared" si="25"/>
        <v>919</v>
      </c>
      <c r="E16" s="34">
        <f t="shared" si="26"/>
        <v>0</v>
      </c>
      <c r="F16" s="12">
        <f t="shared" si="27"/>
        <v>0</v>
      </c>
      <c r="G16" s="20">
        <f t="shared" si="23"/>
        <v>0</v>
      </c>
      <c r="H16" s="12">
        <f t="shared" si="28"/>
        <v>491.5</v>
      </c>
      <c r="I16" s="35">
        <f t="shared" si="29"/>
        <v>-1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 ht="16.5" spans="2:27">
      <c r="B17" s="36"/>
      <c r="C17" s="12" t="str">
        <f t="shared" si="24"/>
        <v>初中物理</v>
      </c>
      <c r="D17" s="13">
        <f t="shared" si="25"/>
        <v>1447</v>
      </c>
      <c r="E17" s="34">
        <f t="shared" si="26"/>
        <v>0</v>
      </c>
      <c r="F17" s="12">
        <f t="shared" si="27"/>
        <v>0</v>
      </c>
      <c r="G17" s="20">
        <f t="shared" si="23"/>
        <v>0</v>
      </c>
      <c r="H17" s="12">
        <f t="shared" si="28"/>
        <v>911.5</v>
      </c>
      <c r="I17" s="35">
        <f t="shared" si="29"/>
        <v>-1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ht="16.5" spans="2:27">
      <c r="B18" s="36"/>
      <c r="C18" s="12" t="str">
        <f t="shared" si="24"/>
        <v>初中生化</v>
      </c>
      <c r="D18" s="13">
        <f t="shared" si="25"/>
        <v>609</v>
      </c>
      <c r="E18" s="34">
        <f t="shared" si="26"/>
        <v>0</v>
      </c>
      <c r="F18" s="12">
        <f t="shared" si="27"/>
        <v>0</v>
      </c>
      <c r="G18" s="20">
        <f t="shared" si="23"/>
        <v>0</v>
      </c>
      <c r="H18" s="12">
        <f t="shared" si="28"/>
        <v>593.5</v>
      </c>
      <c r="I18" s="35">
        <f t="shared" si="29"/>
        <v>-1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 customFormat="1" ht="16.5" spans="2:27">
      <c r="B19" s="37" t="s">
        <v>29</v>
      </c>
      <c r="C19" s="38" t="s">
        <v>29</v>
      </c>
      <c r="D19" s="39">
        <f>SUM(D12:D18)</f>
        <v>9190</v>
      </c>
      <c r="E19" s="40">
        <f>SUM(E12:E18)</f>
        <v>0</v>
      </c>
      <c r="F19" s="41">
        <f>SUM(F12:F18)</f>
        <v>0</v>
      </c>
      <c r="G19" s="42">
        <f t="shared" si="23"/>
        <v>0</v>
      </c>
      <c r="H19" s="38">
        <f>SUM(H12:H18)</f>
        <v>6441</v>
      </c>
      <c r="I19" s="43">
        <f t="shared" si="29"/>
        <v>-1</v>
      </c>
      <c r="J19" s="8"/>
      <c r="K19" s="8"/>
      <c r="L19" s="31"/>
      <c r="M19" s="31"/>
      <c r="N19" s="32"/>
      <c r="O19" s="31"/>
      <c r="P19" s="31"/>
      <c r="Q19" s="31"/>
      <c r="R19" s="31"/>
      <c r="S19" s="31"/>
      <c r="T19" s="31"/>
      <c r="U19" s="31"/>
      <c r="V19" s="31"/>
      <c r="W19" s="31"/>
      <c r="X19" s="8"/>
      <c r="Y19" s="32"/>
      <c r="Z19" s="8"/>
      <c r="AA19" s="8"/>
    </row>
    <row r="20" customFormat="1" ht="16.5" spans="2:27">
      <c r="B20" s="8"/>
      <c r="C20" s="8"/>
      <c r="D20" s="8"/>
      <c r="E20" s="8"/>
      <c r="F20" s="8"/>
      <c r="G20" s="8"/>
      <c r="H20" s="44"/>
      <c r="I20" s="45"/>
      <c r="J20" s="31"/>
      <c r="K20" s="31"/>
      <c r="L20" s="31"/>
      <c r="M20" s="31"/>
      <c r="N20" s="8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8"/>
      <c r="Z20" s="8"/>
      <c r="AA20" s="8"/>
    </row>
    <row r="21" customFormat="1" ht="16.5" spans="2:27">
      <c r="B21" s="8"/>
      <c r="C21" s="8"/>
      <c r="D21" s="8"/>
      <c r="E21" s="8"/>
      <c r="F21" s="8"/>
      <c r="G21" s="8"/>
      <c r="H21" s="46"/>
      <c r="I21" s="46"/>
      <c r="J21" s="8"/>
      <c r="K21" s="8"/>
      <c r="L21" s="8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8"/>
      <c r="Z21" s="8"/>
      <c r="AA21" s="8"/>
    </row>
    <row r="22" customFormat="1" spans="2:27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8"/>
      <c r="Z22" s="8"/>
      <c r="AA22" s="8"/>
    </row>
    <row r="23" customFormat="1" spans="2:27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8"/>
      <c r="Z23" s="8"/>
      <c r="AA23" s="8"/>
    </row>
    <row r="24" customFormat="1" spans="2:27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47"/>
      <c r="Z24" s="8"/>
      <c r="AA24" s="8"/>
    </row>
  </sheetData>
  <sortState ref="A2:AU8">
    <sortCondition ref="L2:L8" descending="1"/>
  </sortState>
  <mergeCells count="1">
    <mergeCell ref="B12:B18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1"/>
  <sheetViews>
    <sheetView workbookViewId="0">
      <selection activeCell="A2" sqref="A2:P2"/>
    </sheetView>
  </sheetViews>
  <sheetFormatPr defaultColWidth="8.66666666666667" defaultRowHeight="14"/>
  <cols>
    <col min="1" max="1" width="9.83333333333333" customWidth="1"/>
    <col min="2" max="4" width="6.83333333333333" customWidth="1"/>
    <col min="5" max="13" width="10.0833333333333" customWidth="1"/>
    <col min="14" max="14" width="9.16666666666667"/>
  </cols>
  <sheetData>
    <row r="2" ht="16.5" spans="1:16">
      <c r="A2" s="1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6.5" spans="1:16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</row>
    <row r="4" ht="16.5" spans="1:16">
      <c r="A4" s="3" t="s">
        <v>24</v>
      </c>
      <c r="B4" s="4">
        <v>868</v>
      </c>
      <c r="C4" s="5">
        <f t="shared" ref="C4:C10" si="0">F4+I4+L4+O4</f>
        <v>313.5</v>
      </c>
      <c r="D4" s="5">
        <f t="shared" ref="D4:D10" si="1">C4-B4</f>
        <v>-554.5</v>
      </c>
      <c r="E4" s="5">
        <f t="shared" ref="E4:E10" si="2">B4*0.5</f>
        <v>434</v>
      </c>
      <c r="F4" s="5">
        <v>313.5</v>
      </c>
      <c r="G4" s="5">
        <f t="shared" ref="G4:G10" si="3">F4-E4</f>
        <v>-120.5</v>
      </c>
      <c r="H4" s="5">
        <f t="shared" ref="H4:H10" si="4">B4*0.08</f>
        <v>69.44</v>
      </c>
      <c r="I4" s="5"/>
      <c r="J4" s="5"/>
      <c r="K4" s="5">
        <f t="shared" ref="K4:K10" si="5">E4*0.2</f>
        <v>86.8</v>
      </c>
      <c r="L4" s="5"/>
      <c r="M4" s="5"/>
      <c r="N4" s="5">
        <f t="shared" ref="N4:N10" si="6">H4*0.22</f>
        <v>15.2768</v>
      </c>
      <c r="O4" s="6"/>
      <c r="P4" s="6"/>
    </row>
    <row r="5" ht="16.5" spans="1:16">
      <c r="A5" s="3" t="s">
        <v>25</v>
      </c>
      <c r="B5" s="4">
        <v>1208</v>
      </c>
      <c r="C5" s="5">
        <f t="shared" si="0"/>
        <v>273.5</v>
      </c>
      <c r="D5" s="5">
        <f t="shared" si="1"/>
        <v>-934.5</v>
      </c>
      <c r="E5" s="5">
        <f t="shared" si="2"/>
        <v>604</v>
      </c>
      <c r="F5" s="5">
        <v>273.5</v>
      </c>
      <c r="G5" s="5">
        <f t="shared" si="3"/>
        <v>-330.5</v>
      </c>
      <c r="H5" s="5">
        <f t="shared" si="4"/>
        <v>96.64</v>
      </c>
      <c r="I5" s="5"/>
      <c r="J5" s="5"/>
      <c r="K5" s="5">
        <f t="shared" si="5"/>
        <v>120.8</v>
      </c>
      <c r="L5" s="5"/>
      <c r="M5" s="5"/>
      <c r="N5" s="5">
        <f t="shared" si="6"/>
        <v>21.2608</v>
      </c>
      <c r="O5" s="6"/>
      <c r="P5" s="6"/>
    </row>
    <row r="6" ht="16.5" spans="1:16">
      <c r="A6" s="3" t="s">
        <v>28</v>
      </c>
      <c r="B6" s="4">
        <v>338</v>
      </c>
      <c r="C6" s="5">
        <f t="shared" si="0"/>
        <v>51.5</v>
      </c>
      <c r="D6" s="5">
        <f t="shared" si="1"/>
        <v>-286.5</v>
      </c>
      <c r="E6" s="5">
        <f t="shared" si="2"/>
        <v>169</v>
      </c>
      <c r="F6" s="5">
        <v>51.5</v>
      </c>
      <c r="G6" s="5">
        <f t="shared" si="3"/>
        <v>-117.5</v>
      </c>
      <c r="H6" s="5">
        <f t="shared" si="4"/>
        <v>27.04</v>
      </c>
      <c r="I6" s="5"/>
      <c r="J6" s="5"/>
      <c r="K6" s="5">
        <f t="shared" si="5"/>
        <v>33.8</v>
      </c>
      <c r="L6" s="5"/>
      <c r="M6" s="5"/>
      <c r="N6" s="5">
        <f t="shared" si="6"/>
        <v>5.9488</v>
      </c>
      <c r="O6" s="6"/>
      <c r="P6" s="6"/>
    </row>
    <row r="7" ht="16.5" spans="1:16">
      <c r="A7" s="3" t="s">
        <v>23</v>
      </c>
      <c r="B7" s="4">
        <v>619</v>
      </c>
      <c r="C7" s="5">
        <f t="shared" si="0"/>
        <v>64.5</v>
      </c>
      <c r="D7" s="5">
        <f t="shared" si="1"/>
        <v>-554.5</v>
      </c>
      <c r="E7" s="5">
        <f t="shared" si="2"/>
        <v>309.5</v>
      </c>
      <c r="F7" s="5">
        <v>64.5</v>
      </c>
      <c r="G7" s="5">
        <f t="shared" si="3"/>
        <v>-245</v>
      </c>
      <c r="H7" s="5">
        <f t="shared" si="4"/>
        <v>49.52</v>
      </c>
      <c r="I7" s="5"/>
      <c r="J7" s="5"/>
      <c r="K7" s="5">
        <f t="shared" si="5"/>
        <v>61.9</v>
      </c>
      <c r="L7" s="5"/>
      <c r="M7" s="5"/>
      <c r="N7" s="5">
        <f t="shared" si="6"/>
        <v>10.8944</v>
      </c>
      <c r="O7" s="6"/>
      <c r="P7" s="6"/>
    </row>
    <row r="8" ht="16.5" spans="1:16">
      <c r="A8" s="3" t="s">
        <v>27</v>
      </c>
      <c r="B8" s="4">
        <v>706</v>
      </c>
      <c r="C8" s="5">
        <f t="shared" si="0"/>
        <v>179.5</v>
      </c>
      <c r="D8" s="5">
        <f t="shared" si="1"/>
        <v>-526.5</v>
      </c>
      <c r="E8" s="5">
        <f t="shared" si="2"/>
        <v>353</v>
      </c>
      <c r="F8" s="5">
        <v>179.5</v>
      </c>
      <c r="G8" s="5">
        <f t="shared" si="3"/>
        <v>-173.5</v>
      </c>
      <c r="H8" s="5">
        <f t="shared" si="4"/>
        <v>56.48</v>
      </c>
      <c r="I8" s="5"/>
      <c r="J8" s="5"/>
      <c r="K8" s="5">
        <f t="shared" si="5"/>
        <v>70.6</v>
      </c>
      <c r="L8" s="5"/>
      <c r="M8" s="5"/>
      <c r="N8" s="5">
        <f t="shared" si="6"/>
        <v>12.4256</v>
      </c>
      <c r="O8" s="6"/>
      <c r="P8" s="6"/>
    </row>
    <row r="9" ht="16.5" spans="1:16">
      <c r="A9" s="3" t="s">
        <v>22</v>
      </c>
      <c r="B9" s="4">
        <v>1083</v>
      </c>
      <c r="C9" s="5">
        <f t="shared" si="0"/>
        <v>351.5</v>
      </c>
      <c r="D9" s="5">
        <f t="shared" si="1"/>
        <v>-731.5</v>
      </c>
      <c r="E9" s="5">
        <f t="shared" si="2"/>
        <v>541.5</v>
      </c>
      <c r="F9" s="5">
        <v>351.5</v>
      </c>
      <c r="G9" s="5">
        <f t="shared" si="3"/>
        <v>-190</v>
      </c>
      <c r="H9" s="5">
        <f t="shared" si="4"/>
        <v>86.64</v>
      </c>
      <c r="I9" s="5"/>
      <c r="J9" s="5"/>
      <c r="K9" s="5">
        <f t="shared" si="5"/>
        <v>108.3</v>
      </c>
      <c r="L9" s="5"/>
      <c r="M9" s="5"/>
      <c r="N9" s="5">
        <f t="shared" si="6"/>
        <v>19.0608</v>
      </c>
      <c r="O9" s="6"/>
      <c r="P9" s="6"/>
    </row>
    <row r="10" ht="16.5" spans="1:16">
      <c r="A10" s="3" t="s">
        <v>26</v>
      </c>
      <c r="B10" s="4">
        <v>572</v>
      </c>
      <c r="C10" s="5">
        <f t="shared" si="0"/>
        <v>127</v>
      </c>
      <c r="D10" s="5">
        <f t="shared" si="1"/>
        <v>-445</v>
      </c>
      <c r="E10" s="5">
        <f t="shared" si="2"/>
        <v>286</v>
      </c>
      <c r="F10" s="5">
        <v>127</v>
      </c>
      <c r="G10" s="5">
        <f t="shared" si="3"/>
        <v>-159</v>
      </c>
      <c r="H10" s="5">
        <f t="shared" si="4"/>
        <v>45.76</v>
      </c>
      <c r="I10" s="5"/>
      <c r="J10" s="5"/>
      <c r="K10" s="5">
        <f t="shared" si="5"/>
        <v>57.2</v>
      </c>
      <c r="L10" s="5"/>
      <c r="M10" s="5"/>
      <c r="N10" s="5">
        <f t="shared" si="6"/>
        <v>10.0672</v>
      </c>
      <c r="O10" s="6"/>
      <c r="P10" s="6"/>
    </row>
    <row r="11" ht="16.5" spans="1:16">
      <c r="A11" s="2" t="s">
        <v>55</v>
      </c>
      <c r="B11" s="7">
        <f>SUM(B4:B10)</f>
        <v>5394</v>
      </c>
      <c r="C11" s="7">
        <f t="shared" ref="C11:P11" si="7">SUM(C4:C10)</f>
        <v>1361</v>
      </c>
      <c r="D11" s="7">
        <f t="shared" si="7"/>
        <v>-4033</v>
      </c>
      <c r="E11" s="7">
        <f t="shared" si="7"/>
        <v>2697</v>
      </c>
      <c r="F11" s="7">
        <f t="shared" si="7"/>
        <v>1361</v>
      </c>
      <c r="G11" s="7">
        <f t="shared" si="7"/>
        <v>-1336</v>
      </c>
      <c r="H11" s="7">
        <f t="shared" si="7"/>
        <v>431.52</v>
      </c>
      <c r="I11" s="7">
        <f t="shared" si="7"/>
        <v>0</v>
      </c>
      <c r="J11" s="7">
        <f t="shared" si="7"/>
        <v>0</v>
      </c>
      <c r="K11" s="7">
        <f t="shared" si="7"/>
        <v>539.4</v>
      </c>
      <c r="L11" s="7">
        <f t="shared" si="7"/>
        <v>0</v>
      </c>
      <c r="M11" s="7">
        <f t="shared" si="7"/>
        <v>0</v>
      </c>
      <c r="N11" s="7">
        <f t="shared" si="7"/>
        <v>94.9344</v>
      </c>
      <c r="O11" s="7">
        <f t="shared" si="7"/>
        <v>0</v>
      </c>
      <c r="P11" s="7">
        <f t="shared" si="7"/>
        <v>0</v>
      </c>
    </row>
  </sheetData>
  <sortState ref="A4:P10">
    <sortCondition ref="A4:A10"/>
  </sortState>
  <mergeCells count="1">
    <mergeCell ref="A2:P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卫强</dc:creator>
  <cp:lastModifiedBy>小强</cp:lastModifiedBy>
  <dcterms:created xsi:type="dcterms:W3CDTF">2015-07-07T02:19:00Z</dcterms:created>
  <dcterms:modified xsi:type="dcterms:W3CDTF">2026-02-01T10:25:39Z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57DA82A14BC94015948835EBD35B412F_13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