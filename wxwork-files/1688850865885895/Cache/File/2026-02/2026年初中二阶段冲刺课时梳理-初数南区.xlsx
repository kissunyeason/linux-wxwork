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<sst xmlns="http://schemas.openxmlformats.org/spreadsheetml/2006/main" count="466" uniqueCount="100">
  <si>
    <t>2026年初中二阶段冲刺课时梳理——过年期间+年后课程</t>
  </si>
  <si>
    <t>序号</t>
  </si>
  <si>
    <t>教师姓名</t>
  </si>
  <si>
    <t>学科</t>
  </si>
  <si>
    <t>时间</t>
  </si>
  <si>
    <t>春节激励阶段二</t>
  </si>
  <si>
    <t>冲刺阶段二</t>
  </si>
  <si>
    <t>2月1日-2月15日
实际课时总计</t>
  </si>
  <si>
    <t>2月16日-2月22日
课时总计</t>
  </si>
  <si>
    <r>
      <rPr>
        <b/>
        <sz val="12"/>
        <color rgb="FF000000"/>
        <rFont val="Microsoft YaHei"/>
        <charset val="134"/>
      </rPr>
      <t>2月23日-3月4日</t>
    </r>
    <r>
      <rPr>
        <sz val="12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课时合计</t>
    </r>
  </si>
  <si>
    <t>2月16日-3月4日
预计总课时</t>
  </si>
  <si>
    <t>2月1日-3月4日
2026年整个寒假
预计总课时</t>
  </si>
  <si>
    <r>
      <rPr>
        <b/>
        <sz val="12"/>
        <color rgb="FF000000"/>
        <rFont val="Microsoft YaHei"/>
        <charset val="134"/>
      </rPr>
      <t>年后排课不稳定</t>
    </r>
    <r>
      <rPr>
        <b/>
        <sz val="12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学生说明</t>
    </r>
  </si>
  <si>
    <t>张泽</t>
  </si>
  <si>
    <t>初数南区</t>
  </si>
  <si>
    <t>8:00-10:00</t>
  </si>
  <si>
    <t>全年初三2xf</t>
  </si>
  <si>
    <t>齐文灿xf</t>
  </si>
  <si>
    <t>朱近宸
xf</t>
  </si>
  <si>
    <t>史辰昊
xf</t>
  </si>
  <si>
    <t>【1】
【2】
【3】
【4】</t>
  </si>
  <si>
    <t>10:00-12:00</t>
  </si>
  <si>
    <t>王灵敏
xf</t>
  </si>
  <si>
    <t>中午</t>
  </si>
  <si>
    <t>14:00-16:00</t>
  </si>
  <si>
    <t>高子阳
xf</t>
  </si>
  <si>
    <t>祁宜源
xf</t>
  </si>
  <si>
    <t>16:00-18:00</t>
  </si>
  <si>
    <t>初二6xf</t>
  </si>
  <si>
    <t>18:00-20:00</t>
  </si>
  <si>
    <t>全年初三2xf答疑</t>
  </si>
  <si>
    <t>20:00-22:00</t>
  </si>
  <si>
    <t>日课时统计</t>
  </si>
  <si>
    <t>邵田利</t>
  </si>
  <si>
    <r>
      <rPr>
        <sz val="11"/>
        <color rgb="FF000000"/>
        <rFont val="微软雅黑"/>
        <charset val="134"/>
      </rPr>
      <t>闫佳琦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wcl</t>
    </r>
  </si>
  <si>
    <t>全年初三xf+答疑</t>
  </si>
  <si>
    <r>
      <rPr>
        <sz val="11"/>
        <color rgb="FF000000"/>
        <rFont val="Microsoft YaHei"/>
        <charset val="134"/>
      </rPr>
      <t>阎子江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xf</t>
    </r>
  </si>
  <si>
    <r>
      <rPr>
        <sz val="11"/>
        <color rgb="FF000000"/>
        <rFont val="微软雅黑"/>
        <charset val="134"/>
      </rPr>
      <t>王麒鸣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xf</t>
    </r>
  </si>
  <si>
    <t xml:space="preserve">【1】白悦瑶：现在是否上课还未确定。
【2】
</t>
  </si>
  <si>
    <t>赵程磊xf</t>
  </si>
  <si>
    <r>
      <rPr>
        <sz val="11"/>
        <color rgb="FF000000"/>
        <rFont val="Microsoft YaHei"/>
        <charset val="134"/>
      </rPr>
      <t>郑泊宁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xf</t>
    </r>
  </si>
  <si>
    <t>陈颖汐xf</t>
  </si>
  <si>
    <r>
      <rPr>
        <sz val="11"/>
        <color rgb="FF000000"/>
        <rFont val="微软雅黑"/>
        <charset val="134"/>
      </rPr>
      <t>白悦瑶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wcl</t>
    </r>
  </si>
  <si>
    <r>
      <rPr>
        <sz val="11"/>
        <color rgb="FF000000"/>
        <rFont val="Microsoft YaHei"/>
        <charset val="134"/>
      </rPr>
      <t>石祺涵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wcl</t>
    </r>
  </si>
  <si>
    <r>
      <rPr>
        <sz val="11"/>
        <color rgb="FF000000"/>
        <rFont val="Microsoft YaHei"/>
        <charset val="134"/>
      </rPr>
      <t>王灿森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xf</t>
    </r>
  </si>
  <si>
    <t>张伟</t>
  </si>
  <si>
    <t>李佳轩
xf</t>
  </si>
  <si>
    <t>义泽婕
xf</t>
  </si>
  <si>
    <t>百冲初三1xf</t>
  </si>
  <si>
    <t>全年初三xf</t>
  </si>
  <si>
    <t>宋羽泽
xf</t>
  </si>
  <si>
    <t>李梓轩
wcl</t>
  </si>
  <si>
    <t>初三6xf</t>
  </si>
  <si>
    <t>苗恒绮xf</t>
  </si>
  <si>
    <t>周怡茉
xf</t>
  </si>
  <si>
    <t>张轩瑞
xf</t>
  </si>
  <si>
    <t>全年初三xf答疑</t>
  </si>
  <si>
    <t>百冲初三1xf答疑</t>
  </si>
  <si>
    <t>聂蕾</t>
  </si>
  <si>
    <t>班</t>
  </si>
  <si>
    <t>宋禹萱</t>
  </si>
  <si>
    <t>程宇彤</t>
  </si>
  <si>
    <t>郝崇烨</t>
  </si>
  <si>
    <t>王宣楠</t>
  </si>
  <si>
    <t>张芊芊</t>
  </si>
  <si>
    <t>刘蕊萱1.5</t>
  </si>
  <si>
    <t>翟潇棣</t>
  </si>
  <si>
    <t>贾子寰</t>
  </si>
  <si>
    <t>李雨桐</t>
  </si>
  <si>
    <t>彭少玮</t>
  </si>
  <si>
    <t>高梓赫
cqt</t>
  </si>
  <si>
    <t>武辰逸
xf</t>
  </si>
  <si>
    <t>李恺仪cqt</t>
  </si>
  <si>
    <t>郑超越
xf</t>
  </si>
  <si>
    <t>刘奕轩
xf</t>
  </si>
  <si>
    <t>丁建秀</t>
  </si>
  <si>
    <t>田绍君xf</t>
  </si>
  <si>
    <t>毛鑫圣
xf</t>
  </si>
  <si>
    <t>苏昊冉
xf</t>
  </si>
  <si>
    <t>百冲初三2xf</t>
  </si>
  <si>
    <t>王嘉悦
xf</t>
  </si>
  <si>
    <t>陈依彤xf</t>
  </si>
  <si>
    <t>桑岐浩
cf</t>
  </si>
  <si>
    <t>王紫晗
xf</t>
  </si>
  <si>
    <t>潘佳彤
xf</t>
  </si>
  <si>
    <t>贾双双</t>
  </si>
  <si>
    <t>胡彩瑄
xf</t>
  </si>
  <si>
    <t>商珂
xf</t>
  </si>
  <si>
    <t>刘育婷xd</t>
  </si>
  <si>
    <t>张梦然wcl</t>
  </si>
  <si>
    <t>李欣阳
xf</t>
  </si>
  <si>
    <t>王诗翰
xf</t>
  </si>
  <si>
    <t>吉青</t>
  </si>
  <si>
    <t>文诗涵xd</t>
  </si>
  <si>
    <r>
      <rPr>
        <sz val="11"/>
        <color rgb="FF000000"/>
        <rFont val="等线"/>
        <charset val="134"/>
      </rPr>
      <t>王琛皓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xd</t>
    </r>
  </si>
  <si>
    <t>全年初三xd</t>
  </si>
  <si>
    <r>
      <rPr>
        <sz val="11"/>
        <color rgb="FF000000"/>
        <rFont val="Microsoft YaHei"/>
        <charset val="134"/>
      </rPr>
      <t>朱依晨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xd</t>
    </r>
  </si>
  <si>
    <r>
      <rPr>
        <sz val="11"/>
        <color rgb="FF000000"/>
        <rFont val="Microsoft YaHei"/>
        <charset val="134"/>
      </rPr>
      <t>王思懿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xd</t>
    </r>
  </si>
  <si>
    <r>
      <rPr>
        <sz val="11"/>
        <color rgb="FF000000"/>
        <rFont val="Microsoft YaHei"/>
        <charset val="134"/>
      </rPr>
      <t>刘子韦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xd</t>
    </r>
  </si>
  <si>
    <t>全年初三xd答疑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</si>
</sst>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  <font>
      <sz val="11"/>
      <color rgb="FF000000"/>
      <name val="等线"/>
      <charset val="134"/>
    </font>
    <font>
      <sz val="12"/>
      <color rgb="FF00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1"/>
  <sheetViews>
    <sheetView tabSelected="1" zoomScale="50" zoomScaleNormal="50" workbookViewId="0">
      <pane xSplit="3" ySplit="3" topLeftCell="D4" activePane="bottomRight" state="frozen"/>
      <selection/>
      <selection pane="topRight"/>
      <selection pane="bottomLeft"/>
      <selection pane="bottomRight" activeCell="L68" sqref="L68:U74"/>
    </sheetView>
  </sheetViews>
  <sheetFormatPr defaultColWidth="8.725" defaultRowHeight="13.5"/>
  <cols>
    <col min="1" max="1" width="6.36666666666667" customWidth="1"/>
    <col min="2" max="2" width="8" customWidth="1"/>
    <col min="3" max="3" width="24.375" customWidth="1"/>
    <col min="4" max="4" width="17.725" customWidth="1"/>
    <col min="5" max="5" width="13.9083333333333" customWidth="1"/>
    <col min="6" max="21" width="15.1833333333333" customWidth="1"/>
    <col min="22" max="22" width="20.275" customWidth="1"/>
    <col min="23" max="23" width="21.55" customWidth="1"/>
    <col min="24" max="24" width="20.6333333333333" customWidth="1"/>
    <col min="25" max="25" width="19.9083333333333" customWidth="1"/>
    <col min="26" max="26" width="21.8166666666667" customWidth="1"/>
    <col min="27" max="27" width="38.3583333333333" customWidth="1"/>
  </cols>
  <sheetData>
    <row r="1" ht="38.7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4.15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  <c r="I2" s="3"/>
      <c r="J2" s="3"/>
      <c r="K2" s="3"/>
      <c r="L2" s="3" t="s">
        <v>6</v>
      </c>
      <c r="M2" s="3"/>
      <c r="N2" s="3"/>
      <c r="O2" s="3"/>
      <c r="P2" s="3"/>
      <c r="Q2" s="3"/>
      <c r="R2" s="3"/>
      <c r="S2" s="3"/>
      <c r="T2" s="3"/>
      <c r="U2" s="3"/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</row>
    <row r="3" ht="52.75" customHeight="1" spans="1:27">
      <c r="A3" s="2"/>
      <c r="B3" s="2"/>
      <c r="C3" s="2"/>
      <c r="D3" s="2"/>
      <c r="E3" s="3">
        <v>46069</v>
      </c>
      <c r="F3" s="3">
        <v>46070</v>
      </c>
      <c r="G3" s="3">
        <v>46071</v>
      </c>
      <c r="H3" s="3">
        <v>46072</v>
      </c>
      <c r="I3" s="3">
        <v>46073</v>
      </c>
      <c r="J3" s="3">
        <v>46074</v>
      </c>
      <c r="K3" s="3">
        <v>46075</v>
      </c>
      <c r="L3" s="3">
        <v>46076</v>
      </c>
      <c r="M3" s="3">
        <v>46077</v>
      </c>
      <c r="N3" s="3">
        <v>46078</v>
      </c>
      <c r="O3" s="3">
        <v>46079</v>
      </c>
      <c r="P3" s="3">
        <v>46080</v>
      </c>
      <c r="Q3" s="3">
        <v>46081</v>
      </c>
      <c r="R3" s="3">
        <v>46082</v>
      </c>
      <c r="S3" s="3">
        <v>46083</v>
      </c>
      <c r="T3" s="3">
        <v>46084</v>
      </c>
      <c r="U3" s="3">
        <v>46085</v>
      </c>
      <c r="V3" s="4"/>
      <c r="W3" s="4"/>
      <c r="X3" s="4"/>
      <c r="Y3" s="4"/>
      <c r="Z3" s="4"/>
      <c r="AA3" s="4"/>
    </row>
    <row r="4" ht="30.5" customHeight="1" spans="1:27">
      <c r="A4" s="5">
        <v>2</v>
      </c>
      <c r="B4" s="5" t="s">
        <v>13</v>
      </c>
      <c r="C4" s="5" t="s">
        <v>14</v>
      </c>
      <c r="D4" s="5" t="s">
        <v>15</v>
      </c>
      <c r="E4" s="6"/>
      <c r="F4" s="6"/>
      <c r="G4" s="6"/>
      <c r="H4" s="6"/>
      <c r="I4" s="6"/>
      <c r="J4" s="6"/>
      <c r="K4" s="6"/>
      <c r="L4" s="6" t="s">
        <v>16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19</v>
      </c>
      <c r="R4" s="6" t="s">
        <v>19</v>
      </c>
      <c r="S4" s="6" t="s">
        <v>19</v>
      </c>
      <c r="T4" s="6" t="s">
        <v>16</v>
      </c>
      <c r="U4" s="6" t="s">
        <v>19</v>
      </c>
      <c r="V4" s="5">
        <v>84</v>
      </c>
      <c r="W4" s="5">
        <f>SUM(E11:K11)</f>
        <v>6</v>
      </c>
      <c r="X4" s="5">
        <f>SUM(L11:U11)</f>
        <v>92</v>
      </c>
      <c r="Y4" s="6">
        <f>W4+X4</f>
        <v>98</v>
      </c>
      <c r="Z4" s="5">
        <f>SUM(V4,X4)</f>
        <v>176</v>
      </c>
      <c r="AA4" s="6" t="s">
        <v>20</v>
      </c>
    </row>
    <row r="5" ht="30.5" customHeight="1" spans="1:27">
      <c r="A5" s="5"/>
      <c r="B5" s="5"/>
      <c r="C5" s="5"/>
      <c r="D5" s="5" t="s">
        <v>21</v>
      </c>
      <c r="E5" s="6"/>
      <c r="F5" s="6"/>
      <c r="G5" s="6"/>
      <c r="H5" s="6"/>
      <c r="I5" s="6"/>
      <c r="J5" s="6"/>
      <c r="K5" s="6" t="s">
        <v>18</v>
      </c>
      <c r="L5" s="6" t="s">
        <v>18</v>
      </c>
      <c r="M5" s="6" t="s">
        <v>18</v>
      </c>
      <c r="N5" s="6" t="s">
        <v>18</v>
      </c>
      <c r="O5" s="6" t="s">
        <v>16</v>
      </c>
      <c r="P5" s="6" t="s">
        <v>17</v>
      </c>
      <c r="Q5" s="6" t="s">
        <v>17</v>
      </c>
      <c r="R5" s="6" t="s">
        <v>22</v>
      </c>
      <c r="S5" s="6" t="s">
        <v>16</v>
      </c>
      <c r="T5" s="6" t="s">
        <v>19</v>
      </c>
      <c r="U5" s="6"/>
      <c r="V5" s="5"/>
      <c r="W5" s="5"/>
      <c r="X5" s="5"/>
      <c r="Y5" s="6"/>
      <c r="Z5" s="5"/>
      <c r="AA5" s="6"/>
    </row>
    <row r="6" ht="30.5" customHeight="1" spans="1:27">
      <c r="A6" s="5"/>
      <c r="B6" s="5"/>
      <c r="C6" s="5"/>
      <c r="D6" s="5" t="s">
        <v>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5"/>
      <c r="W6" s="5"/>
      <c r="X6" s="5"/>
      <c r="Y6" s="6"/>
      <c r="Z6" s="5"/>
      <c r="AA6" s="6"/>
    </row>
    <row r="7" ht="30.5" customHeight="1" spans="1:27">
      <c r="A7" s="5"/>
      <c r="B7" s="5"/>
      <c r="C7" s="5"/>
      <c r="D7" s="5" t="s">
        <v>24</v>
      </c>
      <c r="E7" s="6"/>
      <c r="F7" s="6"/>
      <c r="G7" s="6"/>
      <c r="H7" s="6"/>
      <c r="I7" s="6"/>
      <c r="J7" s="6"/>
      <c r="K7" s="6" t="s">
        <v>25</v>
      </c>
      <c r="L7" s="6" t="s">
        <v>25</v>
      </c>
      <c r="M7" s="6" t="s">
        <v>25</v>
      </c>
      <c r="N7" s="6" t="s">
        <v>16</v>
      </c>
      <c r="O7" s="6" t="s">
        <v>25</v>
      </c>
      <c r="P7" s="6" t="s">
        <v>17</v>
      </c>
      <c r="Q7" s="6" t="s">
        <v>25</v>
      </c>
      <c r="R7" s="6" t="s">
        <v>17</v>
      </c>
      <c r="S7" s="6" t="s">
        <v>17</v>
      </c>
      <c r="T7" s="6" t="s">
        <v>26</v>
      </c>
      <c r="U7" s="6" t="s">
        <v>16</v>
      </c>
      <c r="V7" s="5"/>
      <c r="W7" s="5"/>
      <c r="X7" s="5"/>
      <c r="Y7" s="6"/>
      <c r="Z7" s="5"/>
      <c r="AA7" s="6"/>
    </row>
    <row r="8" ht="30.5" customHeight="1" spans="1:27">
      <c r="A8" s="5"/>
      <c r="B8" s="5"/>
      <c r="C8" s="5"/>
      <c r="D8" s="5" t="s">
        <v>27</v>
      </c>
      <c r="E8" s="6"/>
      <c r="F8" s="6"/>
      <c r="G8" s="6"/>
      <c r="H8" s="6"/>
      <c r="I8" s="6"/>
      <c r="J8" s="6"/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s">
        <v>22</v>
      </c>
      <c r="U8" s="6"/>
      <c r="V8" s="5"/>
      <c r="W8" s="5"/>
      <c r="X8" s="5"/>
      <c r="Y8" s="6"/>
      <c r="Z8" s="5"/>
      <c r="AA8" s="6"/>
    </row>
    <row r="9" ht="30.5" customHeight="1" spans="1:27">
      <c r="A9" s="5"/>
      <c r="B9" s="5"/>
      <c r="C9" s="5"/>
      <c r="D9" s="5" t="s">
        <v>29</v>
      </c>
      <c r="E9" s="6"/>
      <c r="F9" s="6"/>
      <c r="G9" s="6"/>
      <c r="H9" s="6"/>
      <c r="I9" s="6"/>
      <c r="J9" s="6"/>
      <c r="K9" s="6"/>
      <c r="L9" s="6" t="s">
        <v>17</v>
      </c>
      <c r="M9" s="6" t="s">
        <v>17</v>
      </c>
      <c r="N9" s="6" t="s">
        <v>25</v>
      </c>
      <c r="O9" s="6" t="s">
        <v>30</v>
      </c>
      <c r="P9" s="6" t="s">
        <v>26</v>
      </c>
      <c r="Q9" s="6" t="s">
        <v>26</v>
      </c>
      <c r="R9" s="6" t="s">
        <v>26</v>
      </c>
      <c r="S9" s="6" t="s">
        <v>26</v>
      </c>
      <c r="T9" s="6"/>
      <c r="U9" s="6"/>
      <c r="V9" s="5"/>
      <c r="W9" s="5"/>
      <c r="X9" s="5"/>
      <c r="Y9" s="6"/>
      <c r="Z9" s="5"/>
      <c r="AA9" s="6"/>
    </row>
    <row r="10" ht="30.5" customHeight="1" spans="1:27">
      <c r="A10" s="5"/>
      <c r="B10" s="5"/>
      <c r="C10" s="5"/>
      <c r="D10" s="5" t="s">
        <v>31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5"/>
      <c r="W10" s="5"/>
      <c r="X10" s="5"/>
      <c r="Y10" s="6"/>
      <c r="Z10" s="5"/>
      <c r="AA10" s="6"/>
    </row>
    <row r="11" ht="30.5" customHeight="1" spans="1:27">
      <c r="A11" s="5"/>
      <c r="B11" s="5"/>
      <c r="C11" s="5" t="s">
        <v>32</v>
      </c>
      <c r="D11" s="5"/>
      <c r="E11" s="6">
        <f>COUNTA(E4:E10)*2</f>
        <v>0</v>
      </c>
      <c r="F11" s="6">
        <f t="shared" ref="F11:U11" si="0">COUNTA(F4:F10)*2</f>
        <v>0</v>
      </c>
      <c r="G11" s="6">
        <f t="shared" si="0"/>
        <v>0</v>
      </c>
      <c r="H11" s="6">
        <f t="shared" si="0"/>
        <v>0</v>
      </c>
      <c r="I11" s="6">
        <f t="shared" si="0"/>
        <v>0</v>
      </c>
      <c r="J11" s="6">
        <f t="shared" si="0"/>
        <v>0</v>
      </c>
      <c r="K11" s="6">
        <f t="shared" si="0"/>
        <v>6</v>
      </c>
      <c r="L11" s="6">
        <f t="shared" si="0"/>
        <v>10</v>
      </c>
      <c r="M11" s="6">
        <f t="shared" si="0"/>
        <v>10</v>
      </c>
      <c r="N11" s="6">
        <f t="shared" si="0"/>
        <v>10</v>
      </c>
      <c r="O11" s="6">
        <f t="shared" si="0"/>
        <v>10</v>
      </c>
      <c r="P11" s="6">
        <f t="shared" si="0"/>
        <v>10</v>
      </c>
      <c r="Q11" s="6">
        <f t="shared" si="0"/>
        <v>10</v>
      </c>
      <c r="R11" s="6">
        <f t="shared" si="0"/>
        <v>10</v>
      </c>
      <c r="S11" s="6">
        <f t="shared" si="0"/>
        <v>10</v>
      </c>
      <c r="T11" s="6">
        <f t="shared" si="0"/>
        <v>8</v>
      </c>
      <c r="U11" s="6">
        <f t="shared" si="0"/>
        <v>4</v>
      </c>
      <c r="V11" s="5"/>
      <c r="W11" s="5"/>
      <c r="X11" s="5"/>
      <c r="Y11" s="6"/>
      <c r="Z11" s="5"/>
      <c r="AA11" s="6"/>
    </row>
    <row r="12" ht="30.5" customHeight="1" spans="1:27">
      <c r="A12" s="5">
        <v>3</v>
      </c>
      <c r="B12" s="5" t="s">
        <v>33</v>
      </c>
      <c r="C12" s="5" t="s">
        <v>14</v>
      </c>
      <c r="D12" s="5" t="s">
        <v>15</v>
      </c>
      <c r="E12" s="6"/>
      <c r="F12" s="6"/>
      <c r="G12" s="6"/>
      <c r="H12" s="6"/>
      <c r="I12" s="6"/>
      <c r="J12" s="6"/>
      <c r="K12" s="6"/>
      <c r="L12" s="6" t="s">
        <v>34</v>
      </c>
      <c r="M12" s="6" t="s">
        <v>34</v>
      </c>
      <c r="N12" s="6" t="s">
        <v>34</v>
      </c>
      <c r="O12" s="6" t="s">
        <v>34</v>
      </c>
      <c r="P12" s="6" t="s">
        <v>35</v>
      </c>
      <c r="Q12" s="6" t="s">
        <v>36</v>
      </c>
      <c r="R12" s="6" t="s">
        <v>37</v>
      </c>
      <c r="S12" s="6" t="s">
        <v>36</v>
      </c>
      <c r="T12" s="6" t="s">
        <v>37</v>
      </c>
      <c r="U12" s="6" t="s">
        <v>37</v>
      </c>
      <c r="V12" s="5">
        <v>108</v>
      </c>
      <c r="W12" s="5">
        <f>SUM(E19:K19)</f>
        <v>0</v>
      </c>
      <c r="X12" s="5">
        <f>SUM(L19:U19)</f>
        <v>100</v>
      </c>
      <c r="Y12" s="6">
        <f>W12+X12</f>
        <v>100</v>
      </c>
      <c r="Z12" s="5">
        <f>SUM(V12,X12)</f>
        <v>208</v>
      </c>
      <c r="AA12" s="7" t="s">
        <v>38</v>
      </c>
    </row>
    <row r="13" ht="30.5" customHeight="1" spans="1:27">
      <c r="A13" s="5"/>
      <c r="B13" s="5"/>
      <c r="C13" s="5"/>
      <c r="D13" s="5" t="s">
        <v>21</v>
      </c>
      <c r="E13" s="6"/>
      <c r="F13" s="6"/>
      <c r="G13" s="6"/>
      <c r="H13" s="6"/>
      <c r="I13" s="6"/>
      <c r="J13" s="6"/>
      <c r="K13" s="6"/>
      <c r="L13" s="6" t="s">
        <v>39</v>
      </c>
      <c r="M13" s="6" t="s">
        <v>40</v>
      </c>
      <c r="N13" s="6" t="s">
        <v>40</v>
      </c>
      <c r="O13" s="6" t="s">
        <v>40</v>
      </c>
      <c r="P13" s="6" t="s">
        <v>36</v>
      </c>
      <c r="Q13" s="6" t="s">
        <v>40</v>
      </c>
      <c r="R13" s="6" t="s">
        <v>40</v>
      </c>
      <c r="S13" s="6" t="s">
        <v>41</v>
      </c>
      <c r="T13" s="6" t="s">
        <v>39</v>
      </c>
      <c r="U13" s="6" t="s">
        <v>42</v>
      </c>
      <c r="V13" s="5"/>
      <c r="W13" s="5"/>
      <c r="X13" s="5"/>
      <c r="Y13" s="6"/>
      <c r="Z13" s="5"/>
      <c r="AA13" s="7"/>
    </row>
    <row r="14" ht="30.5" customHeight="1" spans="1:27">
      <c r="A14" s="5"/>
      <c r="B14" s="5"/>
      <c r="C14" s="5"/>
      <c r="D14" s="5" t="s">
        <v>23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 t="s">
        <v>41</v>
      </c>
      <c r="S14" s="6"/>
      <c r="T14" s="6"/>
      <c r="U14" s="6"/>
      <c r="V14" s="5"/>
      <c r="W14" s="5"/>
      <c r="X14" s="5"/>
      <c r="Y14" s="6"/>
      <c r="Z14" s="5"/>
      <c r="AA14" s="7"/>
    </row>
    <row r="15" ht="30.5" customHeight="1" spans="1:27">
      <c r="A15" s="5"/>
      <c r="B15" s="5"/>
      <c r="C15" s="5"/>
      <c r="D15" s="5" t="s">
        <v>24</v>
      </c>
      <c r="E15" s="6"/>
      <c r="F15" s="6"/>
      <c r="G15" s="6"/>
      <c r="H15" s="6"/>
      <c r="I15" s="6"/>
      <c r="J15" s="6"/>
      <c r="K15" s="6"/>
      <c r="L15" s="6" t="s">
        <v>35</v>
      </c>
      <c r="M15" s="6" t="s">
        <v>35</v>
      </c>
      <c r="N15" s="6"/>
      <c r="O15" s="6" t="s">
        <v>41</v>
      </c>
      <c r="P15" s="6" t="s">
        <v>40</v>
      </c>
      <c r="Q15" s="6" t="s">
        <v>41</v>
      </c>
      <c r="R15" s="6" t="s">
        <v>43</v>
      </c>
      <c r="S15" s="6" t="s">
        <v>35</v>
      </c>
      <c r="T15" s="6" t="s">
        <v>35</v>
      </c>
      <c r="U15" s="6" t="s">
        <v>39</v>
      </c>
      <c r="V15" s="5"/>
      <c r="W15" s="5"/>
      <c r="X15" s="5"/>
      <c r="Y15" s="6"/>
      <c r="Z15" s="5"/>
      <c r="AA15" s="7"/>
    </row>
    <row r="16" ht="30.5" customHeight="1" spans="1:27">
      <c r="A16" s="5"/>
      <c r="B16" s="5"/>
      <c r="C16" s="5"/>
      <c r="D16" s="5" t="s">
        <v>27</v>
      </c>
      <c r="E16" s="6"/>
      <c r="F16" s="6"/>
      <c r="G16" s="6"/>
      <c r="H16" s="6"/>
      <c r="I16" s="6"/>
      <c r="J16" s="6"/>
      <c r="K16" s="6"/>
      <c r="L16" s="6" t="s">
        <v>44</v>
      </c>
      <c r="M16" s="6" t="s">
        <v>44</v>
      </c>
      <c r="N16" s="6" t="s">
        <v>35</v>
      </c>
      <c r="O16" s="6" t="s">
        <v>43</v>
      </c>
      <c r="P16" s="6" t="s">
        <v>41</v>
      </c>
      <c r="Q16" s="6" t="s">
        <v>43</v>
      </c>
      <c r="R16" s="6" t="s">
        <v>34</v>
      </c>
      <c r="S16" s="6" t="s">
        <v>37</v>
      </c>
      <c r="T16" s="6" t="s">
        <v>42</v>
      </c>
      <c r="U16" s="6" t="s">
        <v>35</v>
      </c>
      <c r="V16" s="5"/>
      <c r="W16" s="5"/>
      <c r="X16" s="5"/>
      <c r="Y16" s="6"/>
      <c r="Z16" s="5"/>
      <c r="AA16" s="7"/>
    </row>
    <row r="17" ht="30.5" customHeight="1" spans="1:27">
      <c r="A17" s="5"/>
      <c r="B17" s="5"/>
      <c r="C17" s="5"/>
      <c r="D17" s="5" t="s">
        <v>29</v>
      </c>
      <c r="E17" s="6"/>
      <c r="F17" s="6"/>
      <c r="G17" s="6"/>
      <c r="H17" s="6"/>
      <c r="I17" s="6"/>
      <c r="J17" s="6"/>
      <c r="K17" s="6"/>
      <c r="L17" s="6" t="s">
        <v>40</v>
      </c>
      <c r="M17" s="6" t="s">
        <v>36</v>
      </c>
      <c r="N17" s="6" t="s">
        <v>44</v>
      </c>
      <c r="O17" s="6" t="s">
        <v>44</v>
      </c>
      <c r="P17" s="6" t="s">
        <v>44</v>
      </c>
      <c r="Q17" s="6" t="s">
        <v>34</v>
      </c>
      <c r="R17" s="6" t="s">
        <v>42</v>
      </c>
      <c r="S17" s="6" t="s">
        <v>42</v>
      </c>
      <c r="T17" s="6" t="s">
        <v>40</v>
      </c>
      <c r="U17" s="6" t="s">
        <v>36</v>
      </c>
      <c r="V17" s="5"/>
      <c r="W17" s="5"/>
      <c r="X17" s="5"/>
      <c r="Y17" s="6"/>
      <c r="Z17" s="5"/>
      <c r="AA17" s="7"/>
    </row>
    <row r="18" ht="30.5" customHeight="1" spans="1:27">
      <c r="A18" s="5"/>
      <c r="B18" s="5"/>
      <c r="C18" s="5"/>
      <c r="D18" s="5" t="s">
        <v>31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5"/>
      <c r="W18" s="5"/>
      <c r="X18" s="5"/>
      <c r="Y18" s="6"/>
      <c r="Z18" s="5"/>
      <c r="AA18" s="7"/>
    </row>
    <row r="19" ht="30.5" customHeight="1" spans="1:27">
      <c r="A19" s="5"/>
      <c r="B19" s="5"/>
      <c r="C19" s="5" t="s">
        <v>32</v>
      </c>
      <c r="D19" s="5"/>
      <c r="E19" s="6">
        <f>COUNTA(E12:E18)*2</f>
        <v>0</v>
      </c>
      <c r="F19" s="6">
        <f t="shared" ref="F19:U19" si="1">COUNTA(F12:F18)*2</f>
        <v>0</v>
      </c>
      <c r="G19" s="6">
        <f t="shared" si="1"/>
        <v>0</v>
      </c>
      <c r="H19" s="6">
        <f t="shared" si="1"/>
        <v>0</v>
      </c>
      <c r="I19" s="6">
        <f t="shared" si="1"/>
        <v>0</v>
      </c>
      <c r="J19" s="6">
        <f t="shared" si="1"/>
        <v>0</v>
      </c>
      <c r="K19" s="6">
        <f t="shared" si="1"/>
        <v>0</v>
      </c>
      <c r="L19" s="6">
        <f t="shared" si="1"/>
        <v>10</v>
      </c>
      <c r="M19" s="6">
        <f t="shared" si="1"/>
        <v>10</v>
      </c>
      <c r="N19" s="6">
        <f t="shared" si="1"/>
        <v>8</v>
      </c>
      <c r="O19" s="6">
        <f t="shared" si="1"/>
        <v>10</v>
      </c>
      <c r="P19" s="6">
        <f t="shared" si="1"/>
        <v>10</v>
      </c>
      <c r="Q19" s="6">
        <f t="shared" si="1"/>
        <v>10</v>
      </c>
      <c r="R19" s="6">
        <f t="shared" si="1"/>
        <v>12</v>
      </c>
      <c r="S19" s="6">
        <f t="shared" si="1"/>
        <v>10</v>
      </c>
      <c r="T19" s="6">
        <f t="shared" si="1"/>
        <v>10</v>
      </c>
      <c r="U19" s="6">
        <f t="shared" si="1"/>
        <v>10</v>
      </c>
      <c r="V19" s="5"/>
      <c r="W19" s="5"/>
      <c r="X19" s="5"/>
      <c r="Y19" s="6"/>
      <c r="Z19" s="5"/>
      <c r="AA19" s="7"/>
    </row>
    <row r="20" ht="30.5" customHeight="1" spans="1:27">
      <c r="A20" s="5">
        <v>4</v>
      </c>
      <c r="B20" s="5" t="s">
        <v>45</v>
      </c>
      <c r="C20" s="5" t="s">
        <v>14</v>
      </c>
      <c r="D20" s="5" t="s">
        <v>15</v>
      </c>
      <c r="E20" s="6"/>
      <c r="F20" s="6"/>
      <c r="G20" s="6"/>
      <c r="H20" s="6"/>
      <c r="I20" s="6"/>
      <c r="J20" s="6" t="s">
        <v>46</v>
      </c>
      <c r="K20" s="6" t="s">
        <v>47</v>
      </c>
      <c r="L20" s="6" t="s">
        <v>48</v>
      </c>
      <c r="M20" s="6" t="s">
        <v>47</v>
      </c>
      <c r="N20" s="6" t="s">
        <v>48</v>
      </c>
      <c r="O20" s="6" t="s">
        <v>48</v>
      </c>
      <c r="P20" s="6" t="s">
        <v>49</v>
      </c>
      <c r="Q20" s="6" t="s">
        <v>50</v>
      </c>
      <c r="R20" s="6" t="s">
        <v>47</v>
      </c>
      <c r="S20" s="6" t="s">
        <v>48</v>
      </c>
      <c r="T20" s="6" t="s">
        <v>47</v>
      </c>
      <c r="U20" s="6" t="s">
        <v>47</v>
      </c>
      <c r="V20" s="5">
        <v>117</v>
      </c>
      <c r="W20" s="5">
        <f>SUM(E27:K27)</f>
        <v>18</v>
      </c>
      <c r="X20" s="5">
        <f>SUM(L27:U27)</f>
        <v>104</v>
      </c>
      <c r="Y20" s="6">
        <f>W20+X20</f>
        <v>122</v>
      </c>
      <c r="Z20" s="5">
        <f>SUM(V20,X20)</f>
        <v>221</v>
      </c>
      <c r="AA20" s="6" t="s">
        <v>20</v>
      </c>
    </row>
    <row r="21" ht="30.5" customHeight="1" spans="1:27">
      <c r="A21" s="5"/>
      <c r="B21" s="5"/>
      <c r="C21" s="5"/>
      <c r="D21" s="5" t="s">
        <v>21</v>
      </c>
      <c r="E21" s="6"/>
      <c r="F21" s="6"/>
      <c r="G21" s="6"/>
      <c r="H21" s="6"/>
      <c r="I21" s="6"/>
      <c r="J21" s="6" t="s">
        <v>51</v>
      </c>
      <c r="K21" s="6" t="s">
        <v>52</v>
      </c>
      <c r="L21" s="6" t="s">
        <v>52</v>
      </c>
      <c r="M21" s="6" t="s">
        <v>52</v>
      </c>
      <c r="N21" s="6" t="s">
        <v>52</v>
      </c>
      <c r="O21" s="6" t="s">
        <v>52</v>
      </c>
      <c r="P21" s="6" t="s">
        <v>52</v>
      </c>
      <c r="Q21" s="6" t="s">
        <v>52</v>
      </c>
      <c r="R21" s="6" t="s">
        <v>52</v>
      </c>
      <c r="S21" s="6" t="s">
        <v>52</v>
      </c>
      <c r="T21" s="6" t="s">
        <v>51</v>
      </c>
      <c r="U21" s="6" t="s">
        <v>51</v>
      </c>
      <c r="V21" s="5"/>
      <c r="W21" s="5"/>
      <c r="X21" s="5"/>
      <c r="Y21" s="6"/>
      <c r="Z21" s="5"/>
      <c r="AA21" s="6"/>
    </row>
    <row r="22" ht="30.5" customHeight="1" spans="1:27">
      <c r="A22" s="5"/>
      <c r="B22" s="5"/>
      <c r="C22" s="5"/>
      <c r="D22" s="5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 t="s">
        <v>51</v>
      </c>
      <c r="T22" s="6"/>
      <c r="U22" s="6"/>
      <c r="V22" s="5"/>
      <c r="W22" s="5"/>
      <c r="X22" s="5"/>
      <c r="Y22" s="6"/>
      <c r="Z22" s="5"/>
      <c r="AA22" s="6"/>
    </row>
    <row r="23" ht="30.5" customHeight="1" spans="1:27">
      <c r="A23" s="5"/>
      <c r="B23" s="5"/>
      <c r="C23" s="5"/>
      <c r="D23" s="5" t="s">
        <v>24</v>
      </c>
      <c r="E23" s="6"/>
      <c r="F23" s="6"/>
      <c r="G23" s="6"/>
      <c r="H23" s="6"/>
      <c r="I23" s="6"/>
      <c r="J23" s="6" t="s">
        <v>47</v>
      </c>
      <c r="K23" s="6" t="s">
        <v>51</v>
      </c>
      <c r="L23" s="6" t="s">
        <v>49</v>
      </c>
      <c r="M23" s="6"/>
      <c r="N23" s="6" t="s">
        <v>49</v>
      </c>
      <c r="O23" s="6" t="s">
        <v>49</v>
      </c>
      <c r="P23" s="6" t="s">
        <v>48</v>
      </c>
      <c r="Q23" s="6" t="s">
        <v>47</v>
      </c>
      <c r="R23" s="6" t="s">
        <v>46</v>
      </c>
      <c r="S23" s="6" t="s">
        <v>49</v>
      </c>
      <c r="T23" s="6" t="s">
        <v>46</v>
      </c>
      <c r="U23" s="6" t="s">
        <v>48</v>
      </c>
      <c r="V23" s="5"/>
      <c r="W23" s="5"/>
      <c r="X23" s="5"/>
      <c r="Y23" s="6"/>
      <c r="Z23" s="5"/>
      <c r="AA23" s="6"/>
    </row>
    <row r="24" ht="30.5" customHeight="1" spans="1:27">
      <c r="A24" s="5"/>
      <c r="B24" s="5"/>
      <c r="C24" s="5"/>
      <c r="D24" s="5" t="s">
        <v>27</v>
      </c>
      <c r="E24" s="6"/>
      <c r="F24" s="6"/>
      <c r="G24" s="6"/>
      <c r="H24" s="6"/>
      <c r="I24" s="6"/>
      <c r="J24" s="6" t="s">
        <v>53</v>
      </c>
      <c r="K24" s="6" t="s">
        <v>53</v>
      </c>
      <c r="L24" s="6" t="s">
        <v>51</v>
      </c>
      <c r="M24" s="6" t="s">
        <v>50</v>
      </c>
      <c r="N24" s="6" t="s">
        <v>54</v>
      </c>
      <c r="O24" s="6"/>
      <c r="P24" s="6" t="s">
        <v>50</v>
      </c>
      <c r="Q24" s="6" t="s">
        <v>53</v>
      </c>
      <c r="R24" s="6" t="s">
        <v>53</v>
      </c>
      <c r="S24" s="6" t="s">
        <v>46</v>
      </c>
      <c r="T24" s="6" t="s">
        <v>53</v>
      </c>
      <c r="U24" s="6" t="s">
        <v>49</v>
      </c>
      <c r="V24" s="5"/>
      <c r="W24" s="5"/>
      <c r="X24" s="5"/>
      <c r="Y24" s="6"/>
      <c r="Z24" s="5"/>
      <c r="AA24" s="6"/>
    </row>
    <row r="25" ht="30.5" customHeight="1" spans="1:27">
      <c r="A25" s="5"/>
      <c r="B25" s="5"/>
      <c r="C25" s="5"/>
      <c r="D25" s="5" t="s">
        <v>29</v>
      </c>
      <c r="E25" s="6"/>
      <c r="F25" s="6"/>
      <c r="G25" s="6"/>
      <c r="H25" s="6"/>
      <c r="I25" s="6"/>
      <c r="J25" s="6"/>
      <c r="K25" s="6" t="s">
        <v>55</v>
      </c>
      <c r="L25" s="6" t="s">
        <v>53</v>
      </c>
      <c r="M25" s="6" t="s">
        <v>53</v>
      </c>
      <c r="N25" s="6" t="s">
        <v>53</v>
      </c>
      <c r="O25" s="6" t="s">
        <v>55</v>
      </c>
      <c r="P25" s="6" t="s">
        <v>53</v>
      </c>
      <c r="Q25" s="6" t="s">
        <v>55</v>
      </c>
      <c r="R25" s="6" t="s">
        <v>50</v>
      </c>
      <c r="S25" s="6" t="s">
        <v>53</v>
      </c>
      <c r="T25" s="6"/>
      <c r="U25" s="6" t="s">
        <v>56</v>
      </c>
      <c r="V25" s="5"/>
      <c r="W25" s="5"/>
      <c r="X25" s="5"/>
      <c r="Y25" s="6"/>
      <c r="Z25" s="5"/>
      <c r="AA25" s="6"/>
    </row>
    <row r="26" ht="30.5" customHeight="1" spans="1:27">
      <c r="A26" s="5"/>
      <c r="B26" s="5"/>
      <c r="C26" s="5"/>
      <c r="D26" s="5" t="s">
        <v>31</v>
      </c>
      <c r="E26" s="6"/>
      <c r="F26" s="6"/>
      <c r="G26" s="6"/>
      <c r="H26" s="6"/>
      <c r="I26" s="6"/>
      <c r="J26" s="6"/>
      <c r="K26" s="6"/>
      <c r="L26" s="6"/>
      <c r="M26" s="6" t="s">
        <v>55</v>
      </c>
      <c r="N26" s="6" t="s">
        <v>56</v>
      </c>
      <c r="O26" s="6" t="s">
        <v>57</v>
      </c>
      <c r="P26" s="6"/>
      <c r="Q26" s="6"/>
      <c r="R26" s="6"/>
      <c r="S26" s="6" t="s">
        <v>55</v>
      </c>
      <c r="T26" s="6"/>
      <c r="U26" s="6"/>
      <c r="V26" s="5"/>
      <c r="W26" s="5"/>
      <c r="X26" s="5"/>
      <c r="Y26" s="6"/>
      <c r="Z26" s="5"/>
      <c r="AA26" s="6"/>
    </row>
    <row r="27" ht="30.5" customHeight="1" spans="1:27">
      <c r="A27" s="5"/>
      <c r="B27" s="5"/>
      <c r="C27" s="5" t="s">
        <v>32</v>
      </c>
      <c r="D27" s="5"/>
      <c r="E27" s="6">
        <f>COUNTA(E20:E26)*2</f>
        <v>0</v>
      </c>
      <c r="F27" s="6">
        <f t="shared" ref="F27:U27" si="2">COUNTA(F20:F26)*2</f>
        <v>0</v>
      </c>
      <c r="G27" s="6">
        <f t="shared" si="2"/>
        <v>0</v>
      </c>
      <c r="H27" s="6">
        <f t="shared" si="2"/>
        <v>0</v>
      </c>
      <c r="I27" s="6">
        <f t="shared" si="2"/>
        <v>0</v>
      </c>
      <c r="J27" s="6">
        <f t="shared" si="2"/>
        <v>8</v>
      </c>
      <c r="K27" s="6">
        <f t="shared" si="2"/>
        <v>10</v>
      </c>
      <c r="L27" s="6">
        <f t="shared" si="2"/>
        <v>10</v>
      </c>
      <c r="M27" s="6">
        <f t="shared" si="2"/>
        <v>10</v>
      </c>
      <c r="N27" s="6">
        <f t="shared" si="2"/>
        <v>12</v>
      </c>
      <c r="O27" s="6">
        <f t="shared" si="2"/>
        <v>10</v>
      </c>
      <c r="P27" s="6">
        <f t="shared" si="2"/>
        <v>10</v>
      </c>
      <c r="Q27" s="6">
        <f t="shared" si="2"/>
        <v>10</v>
      </c>
      <c r="R27" s="8">
        <f t="shared" si="2"/>
        <v>10</v>
      </c>
      <c r="S27" s="8">
        <f t="shared" si="2"/>
        <v>14</v>
      </c>
      <c r="T27" s="8">
        <f t="shared" si="2"/>
        <v>8</v>
      </c>
      <c r="U27" s="6">
        <f t="shared" si="2"/>
        <v>10</v>
      </c>
      <c r="V27" s="5"/>
      <c r="W27" s="5"/>
      <c r="X27" s="5"/>
      <c r="Y27" s="6"/>
      <c r="Z27" s="5"/>
      <c r="AA27" s="6"/>
    </row>
    <row r="28" ht="30.5" customHeight="1" spans="1:27">
      <c r="A28" s="5">
        <v>5</v>
      </c>
      <c r="B28" s="5" t="s">
        <v>58</v>
      </c>
      <c r="C28" s="5" t="s">
        <v>14</v>
      </c>
      <c r="D28" s="5" t="s">
        <v>15</v>
      </c>
      <c r="E28" s="6"/>
      <c r="F28" s="6"/>
      <c r="G28" s="6"/>
      <c r="H28" s="6"/>
      <c r="I28" s="6"/>
      <c r="J28" s="6"/>
      <c r="K28" s="6" t="s">
        <v>59</v>
      </c>
      <c r="L28" s="6" t="s">
        <v>59</v>
      </c>
      <c r="M28" s="6" t="s">
        <v>59</v>
      </c>
      <c r="N28" s="6" t="s">
        <v>59</v>
      </c>
      <c r="O28" s="6" t="s">
        <v>59</v>
      </c>
      <c r="P28" s="6" t="s">
        <v>59</v>
      </c>
      <c r="Q28" s="9" t="s">
        <v>59</v>
      </c>
      <c r="R28" s="10" t="s">
        <v>59</v>
      </c>
      <c r="S28" s="10" t="s">
        <v>59</v>
      </c>
      <c r="T28" s="10"/>
      <c r="U28" s="11"/>
      <c r="V28" s="5">
        <v>89</v>
      </c>
      <c r="W28" s="5">
        <v>9.5</v>
      </c>
      <c r="X28" s="5">
        <v>70</v>
      </c>
      <c r="Y28" s="6">
        <f>W28+X28</f>
        <v>79.5</v>
      </c>
      <c r="Z28" s="5">
        <f>SUM(V28,X28)</f>
        <v>159</v>
      </c>
      <c r="AA28" s="6" t="s">
        <v>20</v>
      </c>
    </row>
    <row r="29" ht="30.5" customHeight="1" spans="1:27">
      <c r="A29" s="5"/>
      <c r="B29" s="5"/>
      <c r="C29" s="5"/>
      <c r="D29" s="5" t="s">
        <v>21</v>
      </c>
      <c r="E29" s="6"/>
      <c r="F29" s="6"/>
      <c r="G29" s="6"/>
      <c r="H29" s="6"/>
      <c r="I29" s="6"/>
      <c r="J29" s="6"/>
      <c r="K29" s="6" t="s">
        <v>60</v>
      </c>
      <c r="L29" s="6" t="s">
        <v>60</v>
      </c>
      <c r="M29" s="6" t="s">
        <v>61</v>
      </c>
      <c r="N29" s="6" t="s">
        <v>62</v>
      </c>
      <c r="O29" s="6" t="s">
        <v>63</v>
      </c>
      <c r="P29" s="6" t="s">
        <v>63</v>
      </c>
      <c r="Q29" s="9" t="s">
        <v>63</v>
      </c>
      <c r="R29" s="10" t="s">
        <v>63</v>
      </c>
      <c r="S29" s="10" t="s">
        <v>64</v>
      </c>
      <c r="T29" s="10"/>
      <c r="U29" s="11"/>
      <c r="V29" s="5"/>
      <c r="W29" s="5"/>
      <c r="X29" s="5"/>
      <c r="Y29" s="6"/>
      <c r="Z29" s="5"/>
      <c r="AA29" s="6"/>
    </row>
    <row r="30" ht="30.5" customHeight="1" spans="1:27">
      <c r="A30" s="5"/>
      <c r="B30" s="5"/>
      <c r="C30" s="5"/>
      <c r="D30" s="5" t="s">
        <v>23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9"/>
      <c r="R30" s="10"/>
      <c r="S30" s="10"/>
      <c r="T30" s="10"/>
      <c r="U30" s="11"/>
      <c r="V30" s="5"/>
      <c r="W30" s="5"/>
      <c r="X30" s="5"/>
      <c r="Y30" s="6"/>
      <c r="Z30" s="5"/>
      <c r="AA30" s="6"/>
    </row>
    <row r="31" ht="30.5" customHeight="1" spans="1:27">
      <c r="A31" s="5"/>
      <c r="B31" s="5"/>
      <c r="C31" s="5"/>
      <c r="D31" s="5" t="s">
        <v>24</v>
      </c>
      <c r="E31" s="6"/>
      <c r="F31" s="6"/>
      <c r="G31" s="6"/>
      <c r="H31" s="6"/>
      <c r="I31" s="6"/>
      <c r="J31" s="6"/>
      <c r="K31" s="6" t="s">
        <v>65</v>
      </c>
      <c r="L31" s="6" t="s">
        <v>66</v>
      </c>
      <c r="M31" s="6" t="s">
        <v>63</v>
      </c>
      <c r="N31" s="6" t="s">
        <v>63</v>
      </c>
      <c r="O31" s="6" t="s">
        <v>62</v>
      </c>
      <c r="P31" s="6" t="s">
        <v>62</v>
      </c>
      <c r="Q31" s="9" t="s">
        <v>61</v>
      </c>
      <c r="R31" s="10" t="s">
        <v>62</v>
      </c>
      <c r="S31" s="10" t="s">
        <v>62</v>
      </c>
      <c r="T31" s="10"/>
      <c r="U31" s="11"/>
      <c r="V31" s="5"/>
      <c r="W31" s="5"/>
      <c r="X31" s="5"/>
      <c r="Y31" s="6"/>
      <c r="Z31" s="5"/>
      <c r="AA31" s="6"/>
    </row>
    <row r="32" ht="30.5" customHeight="1" spans="1:27">
      <c r="A32" s="5"/>
      <c r="B32" s="5"/>
      <c r="C32" s="5"/>
      <c r="D32" s="5" t="s">
        <v>27</v>
      </c>
      <c r="E32" s="6"/>
      <c r="F32" s="6"/>
      <c r="G32" s="6"/>
      <c r="H32" s="6"/>
      <c r="I32" s="6"/>
      <c r="J32" s="6"/>
      <c r="K32" s="6" t="s">
        <v>67</v>
      </c>
      <c r="L32" s="6" t="s">
        <v>67</v>
      </c>
      <c r="M32" s="6" t="s">
        <v>60</v>
      </c>
      <c r="N32" s="6" t="s">
        <v>60</v>
      </c>
      <c r="O32" s="6" t="s">
        <v>61</v>
      </c>
      <c r="P32" s="6" t="s">
        <v>60</v>
      </c>
      <c r="Q32" s="9" t="s">
        <v>68</v>
      </c>
      <c r="R32" s="10"/>
      <c r="S32" s="10"/>
      <c r="T32" s="10"/>
      <c r="U32" s="11"/>
      <c r="V32" s="5"/>
      <c r="W32" s="5"/>
      <c r="X32" s="5"/>
      <c r="Y32" s="6"/>
      <c r="Z32" s="5"/>
      <c r="AA32" s="6"/>
    </row>
    <row r="33" ht="30.5" customHeight="1" spans="1:27">
      <c r="A33" s="5"/>
      <c r="B33" s="5"/>
      <c r="C33" s="5"/>
      <c r="D33" s="5" t="s">
        <v>29</v>
      </c>
      <c r="E33" s="6"/>
      <c r="F33" s="6"/>
      <c r="G33" s="6"/>
      <c r="H33" s="6"/>
      <c r="I33" s="6"/>
      <c r="J33" s="6"/>
      <c r="K33" s="6" t="s">
        <v>66</v>
      </c>
      <c r="L33" s="6" t="s">
        <v>65</v>
      </c>
      <c r="M33" s="6" t="s">
        <v>65</v>
      </c>
      <c r="N33" s="6" t="s">
        <v>61</v>
      </c>
      <c r="O33" s="6" t="s">
        <v>60</v>
      </c>
      <c r="P33" s="6" t="s">
        <v>66</v>
      </c>
      <c r="Q33" s="9"/>
      <c r="R33" s="10"/>
      <c r="S33" s="10"/>
      <c r="T33" s="10" t="s">
        <v>64</v>
      </c>
      <c r="U33" s="11"/>
      <c r="V33" s="5"/>
      <c r="W33" s="5"/>
      <c r="X33" s="5"/>
      <c r="Y33" s="6"/>
      <c r="Z33" s="5"/>
      <c r="AA33" s="6"/>
    </row>
    <row r="34" ht="30.5" customHeight="1" spans="1:27">
      <c r="A34" s="5"/>
      <c r="B34" s="5"/>
      <c r="C34" s="5"/>
      <c r="D34" s="5" t="s">
        <v>31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2"/>
      <c r="S34" s="12"/>
      <c r="T34" s="12"/>
      <c r="U34" s="6"/>
      <c r="V34" s="5"/>
      <c r="W34" s="5"/>
      <c r="X34" s="5"/>
      <c r="Y34" s="6"/>
      <c r="Z34" s="5"/>
      <c r="AA34" s="6"/>
    </row>
    <row r="35" ht="30.5" customHeight="1" spans="1:27">
      <c r="A35" s="5"/>
      <c r="B35" s="5"/>
      <c r="C35" s="5" t="s">
        <v>32</v>
      </c>
      <c r="D35" s="5"/>
      <c r="E35" s="6">
        <f>COUNTA(E28:E34)*2</f>
        <v>0</v>
      </c>
      <c r="F35" s="6">
        <f t="shared" ref="F35:U35" si="3">COUNTA(F28:F34)*2</f>
        <v>0</v>
      </c>
      <c r="G35" s="6">
        <f t="shared" si="3"/>
        <v>0</v>
      </c>
      <c r="H35" s="6">
        <f t="shared" si="3"/>
        <v>0</v>
      </c>
      <c r="I35" s="6">
        <f t="shared" si="3"/>
        <v>0</v>
      </c>
      <c r="J35" s="6">
        <f t="shared" si="3"/>
        <v>0</v>
      </c>
      <c r="K35" s="6">
        <f t="shared" si="3"/>
        <v>10</v>
      </c>
      <c r="L35" s="6">
        <f t="shared" si="3"/>
        <v>10</v>
      </c>
      <c r="M35" s="6">
        <f t="shared" si="3"/>
        <v>10</v>
      </c>
      <c r="N35" s="6">
        <f t="shared" si="3"/>
        <v>10</v>
      </c>
      <c r="O35" s="6">
        <f t="shared" si="3"/>
        <v>10</v>
      </c>
      <c r="P35" s="6">
        <f t="shared" si="3"/>
        <v>10</v>
      </c>
      <c r="Q35" s="6">
        <f t="shared" si="3"/>
        <v>8</v>
      </c>
      <c r="R35" s="6">
        <f t="shared" si="3"/>
        <v>6</v>
      </c>
      <c r="S35" s="6">
        <f t="shared" si="3"/>
        <v>6</v>
      </c>
      <c r="T35" s="6">
        <f t="shared" si="3"/>
        <v>2</v>
      </c>
      <c r="U35" s="6">
        <f t="shared" si="3"/>
        <v>0</v>
      </c>
      <c r="V35" s="5"/>
      <c r="W35" s="5"/>
      <c r="X35" s="5"/>
      <c r="Y35" s="6"/>
      <c r="Z35" s="5"/>
      <c r="AA35" s="6"/>
    </row>
    <row r="36" ht="30.5" customHeight="1" spans="1:27">
      <c r="A36" s="5">
        <v>6</v>
      </c>
      <c r="B36" s="5" t="s">
        <v>69</v>
      </c>
      <c r="C36" s="5" t="s">
        <v>14</v>
      </c>
      <c r="D36" s="5" t="s">
        <v>15</v>
      </c>
      <c r="E36" s="6"/>
      <c r="F36" s="6"/>
      <c r="G36" s="6"/>
      <c r="H36" s="6"/>
      <c r="I36" s="6"/>
      <c r="J36" s="6"/>
      <c r="K36" s="6"/>
      <c r="L36" s="6"/>
      <c r="M36" s="6"/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/>
      <c r="T36" s="6" t="s">
        <v>71</v>
      </c>
      <c r="U36" s="6"/>
      <c r="V36" s="5">
        <v>68</v>
      </c>
      <c r="W36" s="5">
        <f>SUM(E43:K43)</f>
        <v>0</v>
      </c>
      <c r="X36" s="5">
        <f>SUM(L43:U43)</f>
        <v>58</v>
      </c>
      <c r="Y36" s="6">
        <f>W36+X36</f>
        <v>58</v>
      </c>
      <c r="Z36" s="5">
        <f>SUM(V36,X36)</f>
        <v>126</v>
      </c>
      <c r="AA36" s="6" t="s">
        <v>20</v>
      </c>
    </row>
    <row r="37" ht="30.5" customHeight="1" spans="1:27">
      <c r="A37" s="5"/>
      <c r="B37" s="5"/>
      <c r="C37" s="5"/>
      <c r="D37" s="5" t="s">
        <v>21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 t="s">
        <v>72</v>
      </c>
      <c r="Q37" s="6" t="s">
        <v>72</v>
      </c>
      <c r="R37" s="6" t="s">
        <v>72</v>
      </c>
      <c r="S37" s="6" t="s">
        <v>71</v>
      </c>
      <c r="T37" s="6"/>
      <c r="U37" s="6"/>
      <c r="V37" s="5"/>
      <c r="W37" s="5"/>
      <c r="X37" s="5"/>
      <c r="Y37" s="6"/>
      <c r="Z37" s="5"/>
      <c r="AA37" s="6"/>
    </row>
    <row r="38" ht="30.5" customHeight="1" spans="1:27">
      <c r="A38" s="5"/>
      <c r="B38" s="5"/>
      <c r="C38" s="5"/>
      <c r="D38" s="5" t="s">
        <v>23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5"/>
      <c r="W38" s="5"/>
      <c r="X38" s="5"/>
      <c r="Y38" s="6"/>
      <c r="Z38" s="5"/>
      <c r="AA38" s="6"/>
    </row>
    <row r="39" ht="30.5" customHeight="1" spans="1:27">
      <c r="A39" s="5"/>
      <c r="B39" s="5"/>
      <c r="C39" s="5"/>
      <c r="D39" s="5" t="s">
        <v>24</v>
      </c>
      <c r="E39" s="6"/>
      <c r="F39" s="6"/>
      <c r="G39" s="6"/>
      <c r="H39" s="6"/>
      <c r="I39" s="6"/>
      <c r="J39" s="6"/>
      <c r="K39" s="6"/>
      <c r="L39" s="6"/>
      <c r="M39" s="6" t="s">
        <v>73</v>
      </c>
      <c r="N39" s="6" t="s">
        <v>73</v>
      </c>
      <c r="O39" s="6" t="s">
        <v>73</v>
      </c>
      <c r="P39" s="6" t="s">
        <v>73</v>
      </c>
      <c r="Q39" s="6" t="s">
        <v>73</v>
      </c>
      <c r="R39" s="6" t="s">
        <v>73</v>
      </c>
      <c r="S39" s="6" t="s">
        <v>73</v>
      </c>
      <c r="T39" s="6"/>
      <c r="U39" s="6"/>
      <c r="V39" s="5"/>
      <c r="W39" s="5"/>
      <c r="X39" s="5"/>
      <c r="Y39" s="6"/>
      <c r="Z39" s="5"/>
      <c r="AA39" s="6"/>
    </row>
    <row r="40" ht="30.5" customHeight="1" spans="1:27">
      <c r="A40" s="5"/>
      <c r="B40" s="5"/>
      <c r="C40" s="5"/>
      <c r="D40" s="5" t="s">
        <v>27</v>
      </c>
      <c r="E40" s="6"/>
      <c r="F40" s="6"/>
      <c r="G40" s="6"/>
      <c r="H40" s="6"/>
      <c r="I40" s="6"/>
      <c r="J40" s="6"/>
      <c r="K40" s="6"/>
      <c r="L40" s="6"/>
      <c r="M40" s="6" t="s">
        <v>74</v>
      </c>
      <c r="N40" s="6" t="s">
        <v>71</v>
      </c>
      <c r="O40" s="6" t="s">
        <v>74</v>
      </c>
      <c r="P40" s="6" t="s">
        <v>74</v>
      </c>
      <c r="Q40" s="6" t="s">
        <v>74</v>
      </c>
      <c r="R40" s="6" t="s">
        <v>74</v>
      </c>
      <c r="S40" s="6"/>
      <c r="T40" s="6"/>
      <c r="U40" s="6"/>
      <c r="V40" s="5"/>
      <c r="W40" s="5"/>
      <c r="X40" s="5"/>
      <c r="Y40" s="6"/>
      <c r="Z40" s="5"/>
      <c r="AA40" s="6"/>
    </row>
    <row r="41" ht="30.5" customHeight="1" spans="1:27">
      <c r="A41" s="5"/>
      <c r="B41" s="5"/>
      <c r="C41" s="5"/>
      <c r="D41" s="5" t="s">
        <v>29</v>
      </c>
      <c r="E41" s="6"/>
      <c r="F41" s="6"/>
      <c r="G41" s="6"/>
      <c r="H41" s="6"/>
      <c r="I41" s="6"/>
      <c r="J41" s="6"/>
      <c r="K41" s="6"/>
      <c r="L41" s="6"/>
      <c r="M41" s="6" t="s">
        <v>71</v>
      </c>
      <c r="N41" s="6" t="s">
        <v>74</v>
      </c>
      <c r="O41" s="6" t="s">
        <v>71</v>
      </c>
      <c r="P41" s="6" t="s">
        <v>71</v>
      </c>
      <c r="Q41" s="6" t="s">
        <v>71</v>
      </c>
      <c r="R41" s="6" t="s">
        <v>71</v>
      </c>
      <c r="S41" s="6"/>
      <c r="T41" s="6"/>
      <c r="U41" s="6"/>
      <c r="V41" s="5"/>
      <c r="W41" s="5"/>
      <c r="X41" s="5"/>
      <c r="Y41" s="6"/>
      <c r="Z41" s="5"/>
      <c r="AA41" s="6"/>
    </row>
    <row r="42" ht="30.5" customHeight="1" spans="1:27">
      <c r="A42" s="5"/>
      <c r="B42" s="5"/>
      <c r="C42" s="5"/>
      <c r="D42" s="5" t="s">
        <v>31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"/>
      <c r="W42" s="5"/>
      <c r="X42" s="5"/>
      <c r="Y42" s="6"/>
      <c r="Z42" s="5"/>
      <c r="AA42" s="6"/>
    </row>
    <row r="43" ht="30.5" customHeight="1" spans="1:27">
      <c r="A43" s="5"/>
      <c r="B43" s="5"/>
      <c r="C43" s="5" t="s">
        <v>32</v>
      </c>
      <c r="D43" s="5"/>
      <c r="E43" s="6">
        <f>COUNTA(E36:E42)*2</f>
        <v>0</v>
      </c>
      <c r="F43" s="6">
        <f t="shared" ref="F43:U43" si="4">COUNTA(F36:F42)*2</f>
        <v>0</v>
      </c>
      <c r="G43" s="6">
        <f t="shared" si="4"/>
        <v>0</v>
      </c>
      <c r="H43" s="6">
        <f t="shared" si="4"/>
        <v>0</v>
      </c>
      <c r="I43" s="6">
        <f t="shared" si="4"/>
        <v>0</v>
      </c>
      <c r="J43" s="6">
        <f t="shared" si="4"/>
        <v>0</v>
      </c>
      <c r="K43" s="6">
        <f t="shared" si="4"/>
        <v>0</v>
      </c>
      <c r="L43" s="6">
        <f t="shared" si="4"/>
        <v>0</v>
      </c>
      <c r="M43" s="6">
        <f t="shared" si="4"/>
        <v>6</v>
      </c>
      <c r="N43" s="6">
        <f t="shared" si="4"/>
        <v>8</v>
      </c>
      <c r="O43" s="6">
        <f t="shared" si="4"/>
        <v>8</v>
      </c>
      <c r="P43" s="6">
        <f t="shared" si="4"/>
        <v>10</v>
      </c>
      <c r="Q43" s="6">
        <f t="shared" si="4"/>
        <v>10</v>
      </c>
      <c r="R43" s="6">
        <f t="shared" si="4"/>
        <v>10</v>
      </c>
      <c r="S43" s="6">
        <f t="shared" si="4"/>
        <v>4</v>
      </c>
      <c r="T43" s="6">
        <f t="shared" si="4"/>
        <v>2</v>
      </c>
      <c r="U43" s="6">
        <f t="shared" si="4"/>
        <v>0</v>
      </c>
      <c r="V43" s="5"/>
      <c r="W43" s="5"/>
      <c r="X43" s="5"/>
      <c r="Y43" s="6"/>
      <c r="Z43" s="5"/>
      <c r="AA43" s="6"/>
    </row>
    <row r="44" ht="30.5" customHeight="1" spans="1:27">
      <c r="A44" s="5">
        <v>7</v>
      </c>
      <c r="B44" s="5" t="s">
        <v>75</v>
      </c>
      <c r="C44" s="5" t="s">
        <v>14</v>
      </c>
      <c r="D44" s="5" t="s">
        <v>15</v>
      </c>
      <c r="E44" s="6"/>
      <c r="F44" s="6"/>
      <c r="G44" s="6"/>
      <c r="H44" s="6"/>
      <c r="I44" s="6"/>
      <c r="J44" s="6"/>
      <c r="K44" s="6"/>
      <c r="L44" s="6"/>
      <c r="M44" s="6"/>
      <c r="N44" s="6" t="s">
        <v>76</v>
      </c>
      <c r="O44" s="6"/>
      <c r="P44" s="6"/>
      <c r="Q44" s="6"/>
      <c r="R44" s="6"/>
      <c r="S44" s="6" t="s">
        <v>76</v>
      </c>
      <c r="T44" s="6"/>
      <c r="U44" s="6"/>
      <c r="V44" s="5">
        <v>54.5</v>
      </c>
      <c r="W44" s="5">
        <f>SUM(E51:K51)</f>
        <v>0</v>
      </c>
      <c r="X44" s="5">
        <f>SUM(L51:U51)</f>
        <v>76</v>
      </c>
      <c r="Y44" s="6">
        <f>W44+X44</f>
        <v>76</v>
      </c>
      <c r="Z44" s="5">
        <f>SUM(V44,X44)</f>
        <v>130.5</v>
      </c>
      <c r="AA44" s="6" t="s">
        <v>20</v>
      </c>
    </row>
    <row r="45" ht="30.5" customHeight="1" spans="1:27">
      <c r="A45" s="5"/>
      <c r="B45" s="5"/>
      <c r="C45" s="5"/>
      <c r="D45" s="5" t="s">
        <v>21</v>
      </c>
      <c r="E45" s="6"/>
      <c r="F45" s="6"/>
      <c r="G45" s="6"/>
      <c r="H45" s="6"/>
      <c r="I45" s="6"/>
      <c r="J45" s="6"/>
      <c r="K45" s="6"/>
      <c r="L45" s="6" t="s">
        <v>77</v>
      </c>
      <c r="M45" s="6" t="s">
        <v>77</v>
      </c>
      <c r="N45" s="6" t="s">
        <v>77</v>
      </c>
      <c r="O45" s="6"/>
      <c r="P45" s="6" t="s">
        <v>77</v>
      </c>
      <c r="Q45" s="6" t="s">
        <v>77</v>
      </c>
      <c r="R45" s="6" t="s">
        <v>78</v>
      </c>
      <c r="S45" s="6" t="s">
        <v>79</v>
      </c>
      <c r="T45" s="6"/>
      <c r="U45" s="6" t="s">
        <v>78</v>
      </c>
      <c r="V45" s="5"/>
      <c r="W45" s="5"/>
      <c r="X45" s="5"/>
      <c r="Y45" s="6"/>
      <c r="Z45" s="5"/>
      <c r="AA45" s="6"/>
    </row>
    <row r="46" ht="30.5" customHeight="1" spans="1:27">
      <c r="A46" s="5"/>
      <c r="B46" s="5"/>
      <c r="C46" s="5"/>
      <c r="D46" s="5" t="s">
        <v>23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5"/>
      <c r="W46" s="5"/>
      <c r="X46" s="5"/>
      <c r="Y46" s="6"/>
      <c r="Z46" s="5"/>
      <c r="AA46" s="6"/>
    </row>
    <row r="47" ht="30.5" customHeight="1" spans="1:27">
      <c r="A47" s="5"/>
      <c r="B47" s="5"/>
      <c r="C47" s="5"/>
      <c r="D47" s="5" t="s">
        <v>24</v>
      </c>
      <c r="E47" s="6"/>
      <c r="F47" s="6"/>
      <c r="G47" s="6"/>
      <c r="H47" s="6"/>
      <c r="I47" s="6"/>
      <c r="J47" s="6"/>
      <c r="K47" s="6"/>
      <c r="L47" s="6" t="s">
        <v>80</v>
      </c>
      <c r="M47" s="6" t="s">
        <v>80</v>
      </c>
      <c r="N47" s="6" t="s">
        <v>81</v>
      </c>
      <c r="O47" s="6" t="s">
        <v>80</v>
      </c>
      <c r="P47" s="6" t="s">
        <v>80</v>
      </c>
      <c r="Q47" s="6" t="s">
        <v>82</v>
      </c>
      <c r="R47" s="6" t="s">
        <v>82</v>
      </c>
      <c r="S47" s="6" t="s">
        <v>82</v>
      </c>
      <c r="T47" s="6" t="s">
        <v>82</v>
      </c>
      <c r="U47" s="6" t="s">
        <v>79</v>
      </c>
      <c r="V47" s="5"/>
      <c r="W47" s="5"/>
      <c r="X47" s="5"/>
      <c r="Y47" s="6"/>
      <c r="Z47" s="5"/>
      <c r="AA47" s="6"/>
    </row>
    <row r="48" ht="30.5" customHeight="1" spans="1:27">
      <c r="A48" s="5"/>
      <c r="B48" s="5"/>
      <c r="C48" s="5"/>
      <c r="D48" s="5" t="s">
        <v>27</v>
      </c>
      <c r="E48" s="6"/>
      <c r="F48" s="6"/>
      <c r="G48" s="6"/>
      <c r="H48" s="6"/>
      <c r="I48" s="6"/>
      <c r="J48" s="6"/>
      <c r="K48" s="6"/>
      <c r="L48" s="6" t="s">
        <v>83</v>
      </c>
      <c r="M48" s="6" t="s">
        <v>83</v>
      </c>
      <c r="N48" s="6" t="s">
        <v>80</v>
      </c>
      <c r="O48" s="6" t="s">
        <v>83</v>
      </c>
      <c r="P48" s="6" t="s">
        <v>83</v>
      </c>
      <c r="Q48" s="6" t="s">
        <v>80</v>
      </c>
      <c r="R48" s="6" t="s">
        <v>84</v>
      </c>
      <c r="S48" s="6" t="s">
        <v>84</v>
      </c>
      <c r="T48" s="6"/>
      <c r="U48" s="6" t="s">
        <v>81</v>
      </c>
      <c r="V48" s="5"/>
      <c r="W48" s="5"/>
      <c r="X48" s="5"/>
      <c r="Y48" s="6"/>
      <c r="Z48" s="5"/>
      <c r="AA48" s="6"/>
    </row>
    <row r="49" ht="30.5" customHeight="1" spans="1:27">
      <c r="A49" s="5"/>
      <c r="B49" s="5"/>
      <c r="C49" s="5"/>
      <c r="D49" s="5" t="s">
        <v>29</v>
      </c>
      <c r="E49" s="6"/>
      <c r="F49" s="6"/>
      <c r="G49" s="6"/>
      <c r="H49" s="6"/>
      <c r="I49" s="6"/>
      <c r="J49" s="6"/>
      <c r="K49" s="6"/>
      <c r="L49" s="6" t="s">
        <v>76</v>
      </c>
      <c r="M49" s="6" t="s">
        <v>76</v>
      </c>
      <c r="N49" s="6" t="s">
        <v>83</v>
      </c>
      <c r="O49" s="6" t="s">
        <v>76</v>
      </c>
      <c r="P49" s="6" t="s">
        <v>78</v>
      </c>
      <c r="Q49" s="6" t="s">
        <v>83</v>
      </c>
      <c r="R49" s="6" t="s">
        <v>80</v>
      </c>
      <c r="S49" s="6" t="s">
        <v>78</v>
      </c>
      <c r="T49" s="6" t="s">
        <v>78</v>
      </c>
      <c r="U49" s="6"/>
      <c r="V49" s="5"/>
      <c r="W49" s="5"/>
      <c r="X49" s="5"/>
      <c r="Y49" s="6"/>
      <c r="Z49" s="5"/>
      <c r="AA49" s="6"/>
    </row>
    <row r="50" ht="30.5" customHeight="1" spans="1:27">
      <c r="A50" s="5"/>
      <c r="B50" s="5"/>
      <c r="C50" s="5"/>
      <c r="D50" s="5" t="s">
        <v>31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5"/>
      <c r="W50" s="5"/>
      <c r="X50" s="5"/>
      <c r="Y50" s="6"/>
      <c r="Z50" s="5"/>
      <c r="AA50" s="6"/>
    </row>
    <row r="51" ht="30.5" customHeight="1" spans="1:27">
      <c r="A51" s="5"/>
      <c r="B51" s="5"/>
      <c r="C51" s="5" t="s">
        <v>32</v>
      </c>
      <c r="D51" s="5"/>
      <c r="E51" s="6">
        <f>COUNTA(E44:E50)*2</f>
        <v>0</v>
      </c>
      <c r="F51" s="6">
        <f t="shared" ref="F51:U51" si="5">COUNTA(F44:F50)*2</f>
        <v>0</v>
      </c>
      <c r="G51" s="6">
        <f t="shared" si="5"/>
        <v>0</v>
      </c>
      <c r="H51" s="6">
        <f t="shared" si="5"/>
        <v>0</v>
      </c>
      <c r="I51" s="6">
        <f t="shared" si="5"/>
        <v>0</v>
      </c>
      <c r="J51" s="6">
        <f t="shared" si="5"/>
        <v>0</v>
      </c>
      <c r="K51" s="6">
        <f t="shared" si="5"/>
        <v>0</v>
      </c>
      <c r="L51" s="6">
        <f t="shared" si="5"/>
        <v>8</v>
      </c>
      <c r="M51" s="6">
        <f t="shared" si="5"/>
        <v>8</v>
      </c>
      <c r="N51" s="6">
        <f t="shared" si="5"/>
        <v>10</v>
      </c>
      <c r="O51" s="6">
        <f t="shared" si="5"/>
        <v>6</v>
      </c>
      <c r="P51" s="6">
        <f t="shared" si="5"/>
        <v>8</v>
      </c>
      <c r="Q51" s="6">
        <f t="shared" si="5"/>
        <v>8</v>
      </c>
      <c r="R51" s="6">
        <f t="shared" si="5"/>
        <v>8</v>
      </c>
      <c r="S51" s="6">
        <f t="shared" si="5"/>
        <v>10</v>
      </c>
      <c r="T51" s="6">
        <f t="shared" si="5"/>
        <v>4</v>
      </c>
      <c r="U51" s="6">
        <f t="shared" si="5"/>
        <v>6</v>
      </c>
      <c r="V51" s="5"/>
      <c r="W51" s="5"/>
      <c r="X51" s="5"/>
      <c r="Y51" s="6"/>
      <c r="Z51" s="5"/>
      <c r="AA51" s="6"/>
    </row>
    <row r="52" ht="30.5" customHeight="1" spans="1:27">
      <c r="A52" s="5">
        <v>8</v>
      </c>
      <c r="B52" s="5" t="s">
        <v>85</v>
      </c>
      <c r="C52" s="5" t="s">
        <v>14</v>
      </c>
      <c r="D52" s="5" t="s">
        <v>15</v>
      </c>
      <c r="E52" s="6"/>
      <c r="F52" s="6"/>
      <c r="G52" s="6"/>
      <c r="H52" s="6"/>
      <c r="I52" s="6"/>
      <c r="J52" s="6"/>
      <c r="K52" s="6" t="s">
        <v>86</v>
      </c>
      <c r="L52" s="6" t="s">
        <v>86</v>
      </c>
      <c r="M52" s="6" t="s">
        <v>86</v>
      </c>
      <c r="N52" s="6" t="s">
        <v>87</v>
      </c>
      <c r="O52" s="6" t="s">
        <v>87</v>
      </c>
      <c r="P52" s="6" t="s">
        <v>86</v>
      </c>
      <c r="Q52" s="6" t="s">
        <v>86</v>
      </c>
      <c r="R52" s="6" t="s">
        <v>88</v>
      </c>
      <c r="S52" s="6" t="s">
        <v>86</v>
      </c>
      <c r="T52" s="6" t="s">
        <v>86</v>
      </c>
      <c r="U52" s="6"/>
      <c r="V52" s="5">
        <v>60</v>
      </c>
      <c r="W52" s="5">
        <f>SUM(E59:K59)</f>
        <v>2</v>
      </c>
      <c r="X52" s="5">
        <f>SUM(L59:U59)</f>
        <v>52</v>
      </c>
      <c r="Y52" s="6">
        <f>W52+X52</f>
        <v>54</v>
      </c>
      <c r="Z52" s="5">
        <f>SUM(V52,X52)</f>
        <v>112</v>
      </c>
      <c r="AA52" s="6" t="s">
        <v>20</v>
      </c>
    </row>
    <row r="53" ht="30.5" customHeight="1" spans="1:27">
      <c r="A53" s="5"/>
      <c r="B53" s="5"/>
      <c r="C53" s="5"/>
      <c r="D53" s="5" t="s">
        <v>21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5"/>
      <c r="W53" s="5"/>
      <c r="X53" s="5"/>
      <c r="Y53" s="6"/>
      <c r="Z53" s="5"/>
      <c r="AA53" s="6"/>
    </row>
    <row r="54" ht="30.5" customHeight="1" spans="1:27">
      <c r="A54" s="5"/>
      <c r="B54" s="5"/>
      <c r="C54" s="5"/>
      <c r="D54" s="5" t="s">
        <v>23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5"/>
      <c r="W54" s="5"/>
      <c r="X54" s="5"/>
      <c r="Y54" s="6"/>
      <c r="Z54" s="5"/>
      <c r="AA54" s="6"/>
    </row>
    <row r="55" ht="30.5" customHeight="1" spans="1:27">
      <c r="A55" s="5"/>
      <c r="B55" s="5"/>
      <c r="C55" s="5"/>
      <c r="D55" s="5" t="s">
        <v>24</v>
      </c>
      <c r="E55" s="6"/>
      <c r="F55" s="6"/>
      <c r="G55" s="6"/>
      <c r="H55" s="6"/>
      <c r="I55" s="6"/>
      <c r="J55" s="6"/>
      <c r="K55" s="6"/>
      <c r="L55" s="6" t="s">
        <v>87</v>
      </c>
      <c r="M55" s="6" t="s">
        <v>89</v>
      </c>
      <c r="N55" s="6" t="s">
        <v>90</v>
      </c>
      <c r="O55" s="6" t="s">
        <v>90</v>
      </c>
      <c r="P55" s="6" t="s">
        <v>90</v>
      </c>
      <c r="Q55" s="6" t="s">
        <v>90</v>
      </c>
      <c r="R55" s="6" t="s">
        <v>90</v>
      </c>
      <c r="S55" s="6"/>
      <c r="T55" s="6"/>
      <c r="U55" s="6"/>
      <c r="V55" s="5"/>
      <c r="W55" s="5"/>
      <c r="X55" s="5"/>
      <c r="Y55" s="6"/>
      <c r="Z55" s="5"/>
      <c r="AA55" s="6"/>
    </row>
    <row r="56" ht="30.5" customHeight="1" spans="1:27">
      <c r="A56" s="5"/>
      <c r="B56" s="5"/>
      <c r="C56" s="5"/>
      <c r="D56" s="5" t="s">
        <v>27</v>
      </c>
      <c r="E56" s="6"/>
      <c r="F56" s="6"/>
      <c r="G56" s="6"/>
      <c r="H56" s="6"/>
      <c r="I56" s="6"/>
      <c r="J56" s="6"/>
      <c r="K56" s="6"/>
      <c r="L56" s="6" t="s">
        <v>88</v>
      </c>
      <c r="M56" s="6" t="s">
        <v>87</v>
      </c>
      <c r="N56" s="6" t="s">
        <v>91</v>
      </c>
      <c r="O56" s="6" t="s">
        <v>91</v>
      </c>
      <c r="P56" s="6" t="s">
        <v>91</v>
      </c>
      <c r="Q56" s="6" t="s">
        <v>89</v>
      </c>
      <c r="R56" s="6" t="s">
        <v>89</v>
      </c>
      <c r="S56" s="6"/>
      <c r="T56" s="6"/>
      <c r="U56" s="6"/>
      <c r="V56" s="5"/>
      <c r="W56" s="5"/>
      <c r="X56" s="5"/>
      <c r="Y56" s="6"/>
      <c r="Z56" s="5"/>
      <c r="AA56" s="6"/>
    </row>
    <row r="57" ht="30.5" customHeight="1" spans="1:27">
      <c r="A57" s="5"/>
      <c r="B57" s="5"/>
      <c r="C57" s="5"/>
      <c r="D57" s="5" t="s">
        <v>29</v>
      </c>
      <c r="E57" s="6"/>
      <c r="F57" s="6"/>
      <c r="G57" s="6"/>
      <c r="H57" s="6"/>
      <c r="I57" s="6"/>
      <c r="J57" s="6"/>
      <c r="K57" s="6"/>
      <c r="L57" s="6"/>
      <c r="M57" s="6"/>
      <c r="N57" s="6" t="s">
        <v>88</v>
      </c>
      <c r="O57" s="6"/>
      <c r="P57" s="6"/>
      <c r="Q57" s="6" t="s">
        <v>91</v>
      </c>
      <c r="R57" s="6" t="s">
        <v>91</v>
      </c>
      <c r="S57" s="6"/>
      <c r="T57" s="6"/>
      <c r="U57" s="6"/>
      <c r="V57" s="5"/>
      <c r="W57" s="5"/>
      <c r="X57" s="5"/>
      <c r="Y57" s="6"/>
      <c r="Z57" s="5"/>
      <c r="AA57" s="6"/>
    </row>
    <row r="58" ht="30.5" customHeight="1" spans="1:27">
      <c r="A58" s="5"/>
      <c r="B58" s="5"/>
      <c r="C58" s="5"/>
      <c r="D58" s="5" t="s">
        <v>31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5"/>
      <c r="W58" s="5"/>
      <c r="X58" s="5"/>
      <c r="Y58" s="6"/>
      <c r="Z58" s="5"/>
      <c r="AA58" s="6"/>
    </row>
    <row r="59" ht="30.5" customHeight="1" spans="1:27">
      <c r="A59" s="5"/>
      <c r="B59" s="5"/>
      <c r="C59" s="5" t="s">
        <v>32</v>
      </c>
      <c r="D59" s="5"/>
      <c r="E59" s="6">
        <f>COUNTA(E52:E58)*2</f>
        <v>0</v>
      </c>
      <c r="F59" s="6">
        <f t="shared" ref="F59:U59" si="6">COUNTA(F52:F58)*2</f>
        <v>0</v>
      </c>
      <c r="G59" s="6">
        <f t="shared" si="6"/>
        <v>0</v>
      </c>
      <c r="H59" s="6">
        <f t="shared" si="6"/>
        <v>0</v>
      </c>
      <c r="I59" s="6">
        <f t="shared" si="6"/>
        <v>0</v>
      </c>
      <c r="J59" s="6">
        <f t="shared" si="6"/>
        <v>0</v>
      </c>
      <c r="K59" s="6">
        <f t="shared" si="6"/>
        <v>2</v>
      </c>
      <c r="L59" s="6">
        <f t="shared" si="6"/>
        <v>6</v>
      </c>
      <c r="M59" s="6">
        <f t="shared" si="6"/>
        <v>6</v>
      </c>
      <c r="N59" s="6">
        <f t="shared" si="6"/>
        <v>8</v>
      </c>
      <c r="O59" s="6">
        <f t="shared" si="6"/>
        <v>6</v>
      </c>
      <c r="P59" s="6">
        <f t="shared" si="6"/>
        <v>6</v>
      </c>
      <c r="Q59" s="6">
        <f t="shared" si="6"/>
        <v>8</v>
      </c>
      <c r="R59" s="6">
        <f t="shared" si="6"/>
        <v>8</v>
      </c>
      <c r="S59" s="6">
        <f t="shared" si="6"/>
        <v>2</v>
      </c>
      <c r="T59" s="6">
        <f t="shared" si="6"/>
        <v>2</v>
      </c>
      <c r="U59" s="6">
        <f t="shared" si="6"/>
        <v>0</v>
      </c>
      <c r="V59" s="5"/>
      <c r="W59" s="5"/>
      <c r="X59" s="5"/>
      <c r="Y59" s="6"/>
      <c r="Z59" s="5"/>
      <c r="AA59" s="6"/>
    </row>
    <row r="60" ht="30.5" customHeight="1" spans="1:27">
      <c r="A60" s="5">
        <v>9</v>
      </c>
      <c r="B60" s="5" t="s">
        <v>92</v>
      </c>
      <c r="C60" s="5" t="s">
        <v>14</v>
      </c>
      <c r="D60" s="5" t="s">
        <v>15</v>
      </c>
      <c r="E60" s="6"/>
      <c r="F60" s="6"/>
      <c r="G60" s="6"/>
      <c r="H60" s="6"/>
      <c r="I60" s="6"/>
      <c r="J60" s="6"/>
      <c r="K60" s="6"/>
      <c r="L60" s="6" t="s">
        <v>93</v>
      </c>
      <c r="M60" s="6" t="s">
        <v>94</v>
      </c>
      <c r="N60" s="6" t="s">
        <v>95</v>
      </c>
      <c r="O60" s="6"/>
      <c r="P60" s="6" t="s">
        <v>93</v>
      </c>
      <c r="Q60" s="6" t="s">
        <v>96</v>
      </c>
      <c r="R60" s="6" t="s">
        <v>96</v>
      </c>
      <c r="S60" s="6" t="s">
        <v>96</v>
      </c>
      <c r="T60" s="6" t="s">
        <v>93</v>
      </c>
      <c r="U60" s="6" t="s">
        <v>95</v>
      </c>
      <c r="V60" s="5">
        <v>92</v>
      </c>
      <c r="W60" s="5">
        <f>SUM(E67:K67)</f>
        <v>0</v>
      </c>
      <c r="X60" s="5">
        <f>SUM(L67:U67)</f>
        <v>80</v>
      </c>
      <c r="Y60" s="6">
        <f>W60+X60</f>
        <v>80</v>
      </c>
      <c r="Z60" s="5">
        <f>SUM(V60,X60)</f>
        <v>172</v>
      </c>
      <c r="AA60" s="6" t="s">
        <v>20</v>
      </c>
    </row>
    <row r="61" ht="30.5" customHeight="1" spans="1:27">
      <c r="A61" s="5"/>
      <c r="B61" s="5"/>
      <c r="C61" s="5"/>
      <c r="D61" s="5" t="s">
        <v>21</v>
      </c>
      <c r="E61" s="6"/>
      <c r="F61" s="6"/>
      <c r="G61" s="6"/>
      <c r="H61" s="6"/>
      <c r="I61" s="6"/>
      <c r="J61" s="6"/>
      <c r="K61" s="6"/>
      <c r="L61" s="6"/>
      <c r="M61" s="6" t="s">
        <v>95</v>
      </c>
      <c r="N61" s="6" t="s">
        <v>94</v>
      </c>
      <c r="O61" s="6" t="s">
        <v>94</v>
      </c>
      <c r="P61" s="6" t="s">
        <v>94</v>
      </c>
      <c r="Q61" s="6" t="s">
        <v>94</v>
      </c>
      <c r="R61" s="6" t="s">
        <v>94</v>
      </c>
      <c r="S61" s="6" t="s">
        <v>94</v>
      </c>
      <c r="T61" s="6" t="s">
        <v>95</v>
      </c>
      <c r="U61" s="6"/>
      <c r="V61" s="5"/>
      <c r="W61" s="5"/>
      <c r="X61" s="5"/>
      <c r="Y61" s="6"/>
      <c r="Z61" s="5"/>
      <c r="AA61" s="6"/>
    </row>
    <row r="62" ht="30.5" customHeight="1" spans="1:27">
      <c r="A62" s="5"/>
      <c r="B62" s="5"/>
      <c r="C62" s="5"/>
      <c r="D62" s="5" t="s">
        <v>23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5"/>
      <c r="W62" s="5"/>
      <c r="X62" s="5"/>
      <c r="Y62" s="6"/>
      <c r="Z62" s="5"/>
      <c r="AA62" s="6"/>
    </row>
    <row r="63" ht="30.5" customHeight="1" spans="1:27">
      <c r="A63" s="5"/>
      <c r="B63" s="5"/>
      <c r="C63" s="5"/>
      <c r="D63" s="5" t="s">
        <v>24</v>
      </c>
      <c r="E63" s="6"/>
      <c r="F63" s="6"/>
      <c r="G63" s="6"/>
      <c r="H63" s="6"/>
      <c r="I63" s="6"/>
      <c r="J63" s="6"/>
      <c r="K63" s="6"/>
      <c r="L63" s="6" t="s">
        <v>97</v>
      </c>
      <c r="M63" s="6" t="s">
        <v>97</v>
      </c>
      <c r="N63" s="6" t="s">
        <v>97</v>
      </c>
      <c r="O63" s="6" t="s">
        <v>95</v>
      </c>
      <c r="P63" s="6" t="s">
        <v>97</v>
      </c>
      <c r="Q63" s="6" t="s">
        <v>97</v>
      </c>
      <c r="R63" s="6" t="s">
        <v>97</v>
      </c>
      <c r="S63" s="6" t="s">
        <v>93</v>
      </c>
      <c r="T63" s="6" t="s">
        <v>94</v>
      </c>
      <c r="U63" s="6"/>
      <c r="V63" s="5"/>
      <c r="W63" s="5"/>
      <c r="X63" s="5"/>
      <c r="Y63" s="6"/>
      <c r="Z63" s="5"/>
      <c r="AA63" s="6"/>
    </row>
    <row r="64" ht="30.5" customHeight="1" spans="1:27">
      <c r="A64" s="5"/>
      <c r="B64" s="5"/>
      <c r="C64" s="5"/>
      <c r="D64" s="5" t="s">
        <v>27</v>
      </c>
      <c r="E64" s="6"/>
      <c r="F64" s="6"/>
      <c r="G64" s="6"/>
      <c r="H64" s="6"/>
      <c r="I64" s="6"/>
      <c r="J64" s="6"/>
      <c r="K64" s="6"/>
      <c r="L64" s="6" t="s">
        <v>95</v>
      </c>
      <c r="M64" s="6" t="s">
        <v>93</v>
      </c>
      <c r="N64" s="6" t="s">
        <v>98</v>
      </c>
      <c r="O64" s="6" t="s">
        <v>98</v>
      </c>
      <c r="P64" s="6" t="s">
        <v>98</v>
      </c>
      <c r="Q64" s="6" t="s">
        <v>98</v>
      </c>
      <c r="R64" s="6" t="s">
        <v>98</v>
      </c>
      <c r="S64" s="6" t="s">
        <v>95</v>
      </c>
      <c r="T64" s="6"/>
      <c r="U64" s="6"/>
      <c r="V64" s="5"/>
      <c r="W64" s="5"/>
      <c r="X64" s="5"/>
      <c r="Y64" s="6"/>
      <c r="Z64" s="5"/>
      <c r="AA64" s="6"/>
    </row>
    <row r="65" ht="30.5" customHeight="1" spans="1:27">
      <c r="A65" s="5"/>
      <c r="B65" s="5"/>
      <c r="C65" s="5"/>
      <c r="D65" s="5" t="s">
        <v>29</v>
      </c>
      <c r="E65" s="6"/>
      <c r="F65" s="6"/>
      <c r="G65" s="6"/>
      <c r="H65" s="6"/>
      <c r="I65" s="6"/>
      <c r="J65" s="6"/>
      <c r="K65" s="6"/>
      <c r="L65" s="6" t="s">
        <v>99</v>
      </c>
      <c r="M65" s="6"/>
      <c r="N65" s="6" t="s">
        <v>93</v>
      </c>
      <c r="O65" s="6" t="s">
        <v>93</v>
      </c>
      <c r="P65" s="6"/>
      <c r="Q65" s="6" t="s">
        <v>93</v>
      </c>
      <c r="R65" s="6" t="s">
        <v>93</v>
      </c>
      <c r="S65" s="6" t="s">
        <v>99</v>
      </c>
      <c r="T65" s="6"/>
      <c r="U65" s="6"/>
      <c r="V65" s="5"/>
      <c r="W65" s="5"/>
      <c r="X65" s="5"/>
      <c r="Y65" s="6"/>
      <c r="Z65" s="5"/>
      <c r="AA65" s="6"/>
    </row>
    <row r="66" ht="30.5" customHeight="1" spans="1:27">
      <c r="A66" s="5"/>
      <c r="B66" s="5"/>
      <c r="C66" s="5"/>
      <c r="D66" s="5" t="s">
        <v>31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5"/>
      <c r="W66" s="5"/>
      <c r="X66" s="5"/>
      <c r="Y66" s="6"/>
      <c r="Z66" s="5"/>
      <c r="AA66" s="6"/>
    </row>
    <row r="67" ht="30.5" customHeight="1" spans="1:27">
      <c r="A67" s="5"/>
      <c r="B67" s="5"/>
      <c r="C67" s="5" t="s">
        <v>32</v>
      </c>
      <c r="D67" s="5"/>
      <c r="E67" s="6">
        <f>COUNTA(E60:E66)*2</f>
        <v>0</v>
      </c>
      <c r="F67" s="6">
        <f t="shared" ref="F67:U67" si="7">COUNTA(F60:F66)*2</f>
        <v>0</v>
      </c>
      <c r="G67" s="6">
        <f t="shared" si="7"/>
        <v>0</v>
      </c>
      <c r="H67" s="6">
        <f t="shared" si="7"/>
        <v>0</v>
      </c>
      <c r="I67" s="6">
        <f t="shared" si="7"/>
        <v>0</v>
      </c>
      <c r="J67" s="6">
        <f t="shared" si="7"/>
        <v>0</v>
      </c>
      <c r="K67" s="6">
        <f t="shared" si="7"/>
        <v>0</v>
      </c>
      <c r="L67" s="6">
        <f t="shared" si="7"/>
        <v>8</v>
      </c>
      <c r="M67" s="6">
        <f t="shared" si="7"/>
        <v>8</v>
      </c>
      <c r="N67" s="6">
        <f t="shared" si="7"/>
        <v>10</v>
      </c>
      <c r="O67" s="6">
        <f t="shared" si="7"/>
        <v>8</v>
      </c>
      <c r="P67" s="6">
        <f t="shared" si="7"/>
        <v>8</v>
      </c>
      <c r="Q67" s="6">
        <f t="shared" si="7"/>
        <v>10</v>
      </c>
      <c r="R67" s="6">
        <f t="shared" si="7"/>
        <v>10</v>
      </c>
      <c r="S67" s="6">
        <f t="shared" si="7"/>
        <v>10</v>
      </c>
      <c r="T67" s="6">
        <f t="shared" si="7"/>
        <v>6</v>
      </c>
      <c r="U67" s="6">
        <f t="shared" si="7"/>
        <v>2</v>
      </c>
      <c r="V67" s="5"/>
      <c r="W67" s="5"/>
      <c r="X67" s="5"/>
      <c r="Y67" s="6"/>
      <c r="Z67" s="5"/>
      <c r="AA67" s="6"/>
    </row>
    <row r="68" ht="30.5" customHeight="1" spans="1:27">
      <c r="A68" s="5">
        <v>10</v>
      </c>
      <c r="B68" s="5"/>
      <c r="C68" s="5" t="s">
        <v>14</v>
      </c>
      <c r="D68" s="5" t="s">
        <v>15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5"/>
      <c r="W68" s="5">
        <f>SUM(E75:K75)</f>
        <v>0</v>
      </c>
      <c r="X68" s="5">
        <f>SUM(L75:U75)</f>
        <v>0</v>
      </c>
      <c r="Y68" s="6">
        <f>W68+X68</f>
        <v>0</v>
      </c>
      <c r="Z68" s="5">
        <f>SUM(V68,X68)</f>
        <v>0</v>
      </c>
      <c r="AA68" s="6" t="s">
        <v>20</v>
      </c>
    </row>
    <row r="69" ht="30.5" customHeight="1" spans="1:27">
      <c r="A69" s="5"/>
      <c r="B69" s="5"/>
      <c r="C69" s="5"/>
      <c r="D69" s="5" t="s">
        <v>21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5"/>
      <c r="W69" s="5"/>
      <c r="X69" s="5"/>
      <c r="Y69" s="6"/>
      <c r="Z69" s="5"/>
      <c r="AA69" s="6"/>
    </row>
    <row r="70" ht="30.5" customHeight="1" spans="1:27">
      <c r="A70" s="5"/>
      <c r="B70" s="5"/>
      <c r="C70" s="5"/>
      <c r="D70" s="5" t="s">
        <v>23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5"/>
      <c r="W70" s="5"/>
      <c r="X70" s="5"/>
      <c r="Y70" s="6"/>
      <c r="Z70" s="5"/>
      <c r="AA70" s="6"/>
    </row>
    <row r="71" ht="30.5" customHeight="1" spans="1:27">
      <c r="A71" s="5"/>
      <c r="B71" s="5"/>
      <c r="C71" s="5"/>
      <c r="D71" s="5" t="s">
        <v>24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5"/>
      <c r="W71" s="5"/>
      <c r="X71" s="5"/>
      <c r="Y71" s="6"/>
      <c r="Z71" s="5"/>
      <c r="AA71" s="6"/>
    </row>
    <row r="72" ht="30.5" customHeight="1" spans="1:27">
      <c r="A72" s="5"/>
      <c r="B72" s="5"/>
      <c r="C72" s="5"/>
      <c r="D72" s="5" t="s">
        <v>27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5"/>
      <c r="W72" s="5"/>
      <c r="X72" s="5"/>
      <c r="Y72" s="6"/>
      <c r="Z72" s="5"/>
      <c r="AA72" s="6"/>
    </row>
    <row r="73" ht="30.5" customHeight="1" spans="1:27">
      <c r="A73" s="5"/>
      <c r="B73" s="5"/>
      <c r="C73" s="5"/>
      <c r="D73" s="5" t="s">
        <v>29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5"/>
      <c r="W73" s="5"/>
      <c r="X73" s="5"/>
      <c r="Y73" s="6"/>
      <c r="Z73" s="5"/>
      <c r="AA73" s="6"/>
    </row>
    <row r="74" ht="30.5" customHeight="1" spans="1:27">
      <c r="A74" s="5"/>
      <c r="B74" s="5"/>
      <c r="C74" s="5"/>
      <c r="D74" s="5" t="s">
        <v>31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5"/>
      <c r="W74" s="5"/>
      <c r="X74" s="5"/>
      <c r="Y74" s="6"/>
      <c r="Z74" s="5"/>
      <c r="AA74" s="6"/>
    </row>
    <row r="75" ht="30.5" customHeight="1" spans="1:27">
      <c r="A75" s="5"/>
      <c r="B75" s="5"/>
      <c r="C75" s="5" t="s">
        <v>32</v>
      </c>
      <c r="D75" s="5"/>
      <c r="E75" s="6">
        <f>COUNTA(E68:E74)*2</f>
        <v>0</v>
      </c>
      <c r="F75" s="6">
        <f t="shared" ref="F75:U75" si="8">COUNTA(F68:F74)*2</f>
        <v>0</v>
      </c>
      <c r="G75" s="6">
        <f t="shared" si="8"/>
        <v>0</v>
      </c>
      <c r="H75" s="6">
        <f t="shared" si="8"/>
        <v>0</v>
      </c>
      <c r="I75" s="6">
        <f t="shared" si="8"/>
        <v>0</v>
      </c>
      <c r="J75" s="6">
        <f t="shared" si="8"/>
        <v>0</v>
      </c>
      <c r="K75" s="6">
        <f t="shared" si="8"/>
        <v>0</v>
      </c>
      <c r="L75" s="6">
        <f t="shared" si="8"/>
        <v>0</v>
      </c>
      <c r="M75" s="6">
        <f t="shared" si="8"/>
        <v>0</v>
      </c>
      <c r="N75" s="6">
        <f t="shared" si="8"/>
        <v>0</v>
      </c>
      <c r="O75" s="6">
        <f t="shared" si="8"/>
        <v>0</v>
      </c>
      <c r="P75" s="6">
        <f t="shared" si="8"/>
        <v>0</v>
      </c>
      <c r="Q75" s="6">
        <f t="shared" si="8"/>
        <v>0</v>
      </c>
      <c r="R75" s="6">
        <f t="shared" si="8"/>
        <v>0</v>
      </c>
      <c r="S75" s="6">
        <f t="shared" si="8"/>
        <v>0</v>
      </c>
      <c r="T75" s="6">
        <f t="shared" si="8"/>
        <v>0</v>
      </c>
      <c r="U75" s="6">
        <f t="shared" si="8"/>
        <v>0</v>
      </c>
      <c r="V75" s="5"/>
      <c r="W75" s="5"/>
      <c r="X75" s="5"/>
      <c r="Y75" s="6"/>
      <c r="Z75" s="5"/>
      <c r="AA75" s="6"/>
    </row>
    <row r="76" ht="30.5" customHeight="1" spans="1:27">
      <c r="A76" s="5">
        <v>11</v>
      </c>
      <c r="B76" s="5"/>
      <c r="C76" s="5" t="s">
        <v>14</v>
      </c>
      <c r="D76" s="5" t="s">
        <v>15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5"/>
      <c r="W76" s="5">
        <f>SUM(E83:K83)</f>
        <v>0</v>
      </c>
      <c r="X76" s="5">
        <f>SUM(L83:U83)</f>
        <v>0</v>
      </c>
      <c r="Y76" s="6">
        <f>W76+X76</f>
        <v>0</v>
      </c>
      <c r="Z76" s="5">
        <f>SUM(V76,X76)</f>
        <v>0</v>
      </c>
      <c r="AA76" s="6" t="s">
        <v>20</v>
      </c>
    </row>
    <row r="77" ht="30.5" customHeight="1" spans="1:27">
      <c r="A77" s="5"/>
      <c r="B77" s="5"/>
      <c r="C77" s="5"/>
      <c r="D77" s="5" t="s">
        <v>21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5"/>
      <c r="W77" s="5"/>
      <c r="X77" s="5"/>
      <c r="Y77" s="6"/>
      <c r="Z77" s="5"/>
      <c r="AA77" s="6"/>
    </row>
    <row r="78" ht="30.5" customHeight="1" spans="1:27">
      <c r="A78" s="5"/>
      <c r="B78" s="5"/>
      <c r="C78" s="5"/>
      <c r="D78" s="5" t="s">
        <v>23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5"/>
      <c r="W78" s="5"/>
      <c r="X78" s="5"/>
      <c r="Y78" s="6"/>
      <c r="Z78" s="5"/>
      <c r="AA78" s="6"/>
    </row>
    <row r="79" ht="30.5" customHeight="1" spans="1:27">
      <c r="A79" s="5"/>
      <c r="B79" s="5"/>
      <c r="C79" s="5"/>
      <c r="D79" s="5" t="s">
        <v>24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5"/>
      <c r="W79" s="5"/>
      <c r="X79" s="5"/>
      <c r="Y79" s="6"/>
      <c r="Z79" s="5"/>
      <c r="AA79" s="6"/>
    </row>
    <row r="80" ht="30.5" customHeight="1" spans="1:27">
      <c r="A80" s="5"/>
      <c r="B80" s="5"/>
      <c r="C80" s="5"/>
      <c r="D80" s="5" t="s">
        <v>27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5"/>
      <c r="W80" s="5"/>
      <c r="X80" s="5"/>
      <c r="Y80" s="6"/>
      <c r="Z80" s="5"/>
      <c r="AA80" s="6"/>
    </row>
    <row r="81" ht="30.5" customHeight="1" spans="1:27">
      <c r="A81" s="5"/>
      <c r="B81" s="5"/>
      <c r="C81" s="5"/>
      <c r="D81" s="5" t="s">
        <v>29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5"/>
      <c r="W81" s="5"/>
      <c r="X81" s="5"/>
      <c r="Y81" s="6"/>
      <c r="Z81" s="5"/>
      <c r="AA81" s="6"/>
    </row>
    <row r="82" ht="30.5" customHeight="1" spans="1:27">
      <c r="A82" s="5"/>
      <c r="B82" s="5"/>
      <c r="C82" s="5"/>
      <c r="D82" s="5" t="s">
        <v>31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5"/>
      <c r="W82" s="5"/>
      <c r="X82" s="5"/>
      <c r="Y82" s="6"/>
      <c r="Z82" s="5"/>
      <c r="AA82" s="6"/>
    </row>
    <row r="83" ht="30.5" customHeight="1" spans="1:27">
      <c r="A83" s="5"/>
      <c r="B83" s="5"/>
      <c r="C83" s="5" t="s">
        <v>32</v>
      </c>
      <c r="D83" s="5"/>
      <c r="E83" s="6">
        <f>COUNTA(E76:E82)*2</f>
        <v>0</v>
      </c>
      <c r="F83" s="6">
        <f t="shared" ref="F83:U83" si="9">COUNTA(F76:F82)*2</f>
        <v>0</v>
      </c>
      <c r="G83" s="6">
        <f t="shared" si="9"/>
        <v>0</v>
      </c>
      <c r="H83" s="6">
        <f t="shared" si="9"/>
        <v>0</v>
      </c>
      <c r="I83" s="6">
        <f t="shared" si="9"/>
        <v>0</v>
      </c>
      <c r="J83" s="6">
        <f t="shared" si="9"/>
        <v>0</v>
      </c>
      <c r="K83" s="6">
        <f t="shared" si="9"/>
        <v>0</v>
      </c>
      <c r="L83" s="6">
        <f t="shared" si="9"/>
        <v>0</v>
      </c>
      <c r="M83" s="6">
        <f t="shared" si="9"/>
        <v>0</v>
      </c>
      <c r="N83" s="6">
        <f t="shared" si="9"/>
        <v>0</v>
      </c>
      <c r="O83" s="6">
        <f t="shared" si="9"/>
        <v>0</v>
      </c>
      <c r="P83" s="6">
        <f t="shared" si="9"/>
        <v>0</v>
      </c>
      <c r="Q83" s="6">
        <f t="shared" si="9"/>
        <v>0</v>
      </c>
      <c r="R83" s="6">
        <f t="shared" si="9"/>
        <v>0</v>
      </c>
      <c r="S83" s="6">
        <f t="shared" si="9"/>
        <v>0</v>
      </c>
      <c r="T83" s="6">
        <f t="shared" si="9"/>
        <v>0</v>
      </c>
      <c r="U83" s="6">
        <f t="shared" si="9"/>
        <v>0</v>
      </c>
      <c r="V83" s="5"/>
      <c r="W83" s="5"/>
      <c r="X83" s="5"/>
      <c r="Y83" s="6"/>
      <c r="Z83" s="5"/>
      <c r="AA83" s="6"/>
    </row>
    <row r="84" ht="30.5" customHeight="1" spans="1:27">
      <c r="A84" s="5">
        <v>12</v>
      </c>
      <c r="B84" s="5"/>
      <c r="C84" s="5" t="s">
        <v>14</v>
      </c>
      <c r="D84" s="5" t="s">
        <v>15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5"/>
      <c r="W84" s="5">
        <f>SUM(E91:K91)</f>
        <v>0</v>
      </c>
      <c r="X84" s="5">
        <f>SUM(L91:U91)</f>
        <v>0</v>
      </c>
      <c r="Y84" s="6">
        <f>W84+X84</f>
        <v>0</v>
      </c>
      <c r="Z84" s="5">
        <f>SUM(V84,X84)</f>
        <v>0</v>
      </c>
      <c r="AA84" s="6" t="s">
        <v>20</v>
      </c>
    </row>
    <row r="85" ht="30.5" customHeight="1" spans="1:27">
      <c r="A85" s="5"/>
      <c r="B85" s="5"/>
      <c r="C85" s="5"/>
      <c r="D85" s="5" t="s">
        <v>21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5"/>
      <c r="W85" s="5"/>
      <c r="X85" s="5"/>
      <c r="Y85" s="6"/>
      <c r="Z85" s="5"/>
      <c r="AA85" s="6"/>
    </row>
    <row r="86" ht="30.5" customHeight="1" spans="1:27">
      <c r="A86" s="5"/>
      <c r="B86" s="5"/>
      <c r="C86" s="5"/>
      <c r="D86" s="5" t="s">
        <v>23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5"/>
      <c r="W86" s="5"/>
      <c r="X86" s="5"/>
      <c r="Y86" s="6"/>
      <c r="Z86" s="5"/>
      <c r="AA86" s="6"/>
    </row>
    <row r="87" ht="30.5" customHeight="1" spans="1:27">
      <c r="A87" s="5"/>
      <c r="B87" s="5"/>
      <c r="C87" s="5"/>
      <c r="D87" s="5" t="s">
        <v>24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5"/>
      <c r="W87" s="5"/>
      <c r="X87" s="5"/>
      <c r="Y87" s="6"/>
      <c r="Z87" s="5"/>
      <c r="AA87" s="6"/>
    </row>
    <row r="88" ht="30.5" customHeight="1" spans="1:27">
      <c r="A88" s="5"/>
      <c r="B88" s="5"/>
      <c r="C88" s="5"/>
      <c r="D88" s="5" t="s">
        <v>27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5"/>
      <c r="W88" s="5"/>
      <c r="X88" s="5"/>
      <c r="Y88" s="6"/>
      <c r="Z88" s="5"/>
      <c r="AA88" s="6"/>
    </row>
    <row r="89" ht="30.5" customHeight="1" spans="1:27">
      <c r="A89" s="5"/>
      <c r="B89" s="5"/>
      <c r="C89" s="5"/>
      <c r="D89" s="5" t="s">
        <v>29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5"/>
      <c r="W89" s="5"/>
      <c r="X89" s="5"/>
      <c r="Y89" s="6"/>
      <c r="Z89" s="5"/>
      <c r="AA89" s="6"/>
    </row>
    <row r="90" ht="30.5" customHeight="1" spans="1:27">
      <c r="A90" s="5"/>
      <c r="B90" s="5"/>
      <c r="C90" s="5"/>
      <c r="D90" s="5" t="s">
        <v>31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5"/>
      <c r="W90" s="5"/>
      <c r="X90" s="5"/>
      <c r="Y90" s="6"/>
      <c r="Z90" s="5"/>
      <c r="AA90" s="6"/>
    </row>
    <row r="91" ht="30.5" customHeight="1" spans="1:27">
      <c r="A91" s="5"/>
      <c r="B91" s="5"/>
      <c r="C91" s="5" t="s">
        <v>32</v>
      </c>
      <c r="D91" s="5"/>
      <c r="E91" s="6">
        <f>COUNTA(E84:E90)*2</f>
        <v>0</v>
      </c>
      <c r="F91" s="6">
        <f t="shared" ref="F91:U91" si="10">COUNTA(F84:F90)*2</f>
        <v>0</v>
      </c>
      <c r="G91" s="6">
        <f t="shared" si="10"/>
        <v>0</v>
      </c>
      <c r="H91" s="6">
        <f t="shared" si="10"/>
        <v>0</v>
      </c>
      <c r="I91" s="6">
        <f t="shared" si="10"/>
        <v>0</v>
      </c>
      <c r="J91" s="6">
        <f t="shared" si="10"/>
        <v>0</v>
      </c>
      <c r="K91" s="6">
        <f t="shared" si="10"/>
        <v>0</v>
      </c>
      <c r="L91" s="6">
        <f t="shared" si="10"/>
        <v>0</v>
      </c>
      <c r="M91" s="6">
        <f t="shared" si="10"/>
        <v>0</v>
      </c>
      <c r="N91" s="6">
        <f t="shared" si="10"/>
        <v>0</v>
      </c>
      <c r="O91" s="6">
        <f t="shared" si="10"/>
        <v>0</v>
      </c>
      <c r="P91" s="6">
        <f t="shared" si="10"/>
        <v>0</v>
      </c>
      <c r="Q91" s="6">
        <f t="shared" si="10"/>
        <v>0</v>
      </c>
      <c r="R91" s="6">
        <f t="shared" si="10"/>
        <v>0</v>
      </c>
      <c r="S91" s="6">
        <f t="shared" si="10"/>
        <v>0</v>
      </c>
      <c r="T91" s="6">
        <f t="shared" si="10"/>
        <v>0</v>
      </c>
      <c r="U91" s="6">
        <f t="shared" si="10"/>
        <v>0</v>
      </c>
      <c r="V91" s="5"/>
      <c r="W91" s="5"/>
      <c r="X91" s="5"/>
      <c r="Y91" s="6"/>
      <c r="Z91" s="5"/>
      <c r="AA91" s="6"/>
    </row>
  </sheetData>
  <sheetProtection formatCells="0" formatColumns="0" formatRows="0" insertRows="0" insertColumns="0" insertHyperlinks="0" deleteColumns="0" deleteRows="0" sort="0" autoFilter="0" pivotTables="0"/>
  <mergeCells count="123">
    <mergeCell ref="A1:AA1"/>
    <mergeCell ref="E2:K2"/>
    <mergeCell ref="L2:U2"/>
    <mergeCell ref="C11:D11"/>
    <mergeCell ref="C19:D19"/>
    <mergeCell ref="C27:D27"/>
    <mergeCell ref="C35:D35"/>
    <mergeCell ref="C43:D43"/>
    <mergeCell ref="C51:D51"/>
    <mergeCell ref="C59:D59"/>
    <mergeCell ref="C67:D67"/>
    <mergeCell ref="C75:D75"/>
    <mergeCell ref="C83:D83"/>
    <mergeCell ref="C91:D91"/>
    <mergeCell ref="A2:A3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B2:B3"/>
    <mergeCell ref="B4:B11"/>
    <mergeCell ref="B12:B19"/>
    <mergeCell ref="B20:B27"/>
    <mergeCell ref="B28:B35"/>
    <mergeCell ref="B36:B43"/>
    <mergeCell ref="B44:B51"/>
    <mergeCell ref="B52:B59"/>
    <mergeCell ref="B60:B67"/>
    <mergeCell ref="B68:B75"/>
    <mergeCell ref="B76:B83"/>
    <mergeCell ref="B84:B91"/>
    <mergeCell ref="C2:C3"/>
    <mergeCell ref="C4:C10"/>
    <mergeCell ref="C12:C18"/>
    <mergeCell ref="C20:C26"/>
    <mergeCell ref="C28:C34"/>
    <mergeCell ref="C36:C42"/>
    <mergeCell ref="C44:C50"/>
    <mergeCell ref="C52:C58"/>
    <mergeCell ref="C60:C66"/>
    <mergeCell ref="C68:C74"/>
    <mergeCell ref="C76:C82"/>
    <mergeCell ref="C84:C90"/>
    <mergeCell ref="D2:D3"/>
    <mergeCell ref="V2:V3"/>
    <mergeCell ref="V4:V11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V84:V91"/>
    <mergeCell ref="W2:W3"/>
    <mergeCell ref="W4:W11"/>
    <mergeCell ref="W12:W19"/>
    <mergeCell ref="W20:W27"/>
    <mergeCell ref="W28:W35"/>
    <mergeCell ref="W36:W43"/>
    <mergeCell ref="W44:W51"/>
    <mergeCell ref="W52:W59"/>
    <mergeCell ref="W60:W67"/>
    <mergeCell ref="W68:W75"/>
    <mergeCell ref="W76:W83"/>
    <mergeCell ref="W84:W91"/>
    <mergeCell ref="X2:X3"/>
    <mergeCell ref="X4:X11"/>
    <mergeCell ref="X12:X19"/>
    <mergeCell ref="X20:X27"/>
    <mergeCell ref="X28:X35"/>
    <mergeCell ref="X36:X43"/>
    <mergeCell ref="X44:X51"/>
    <mergeCell ref="X52:X59"/>
    <mergeCell ref="X60:X67"/>
    <mergeCell ref="X68:X75"/>
    <mergeCell ref="X76:X83"/>
    <mergeCell ref="X84:X91"/>
    <mergeCell ref="Y2:Y3"/>
    <mergeCell ref="Y4:Y11"/>
    <mergeCell ref="Y12:Y19"/>
    <mergeCell ref="Y20:Y27"/>
    <mergeCell ref="Y28:Y35"/>
    <mergeCell ref="Y36:Y43"/>
    <mergeCell ref="Y44:Y51"/>
    <mergeCell ref="Y52:Y59"/>
    <mergeCell ref="Y60:Y67"/>
    <mergeCell ref="Y68:Y75"/>
    <mergeCell ref="Y76:Y83"/>
    <mergeCell ref="Y84:Y91"/>
    <mergeCell ref="Z2:Z3"/>
    <mergeCell ref="Z4:Z11"/>
    <mergeCell ref="Z12:Z19"/>
    <mergeCell ref="Z20:Z27"/>
    <mergeCell ref="Z28:Z35"/>
    <mergeCell ref="Z36:Z43"/>
    <mergeCell ref="Z44:Z51"/>
    <mergeCell ref="Z52:Z59"/>
    <mergeCell ref="Z60:Z67"/>
    <mergeCell ref="Z68:Z75"/>
    <mergeCell ref="Z76:Z83"/>
    <mergeCell ref="Z84:Z91"/>
    <mergeCell ref="AA2:AA3"/>
    <mergeCell ref="AA4:AA11"/>
    <mergeCell ref="AA12:AA19"/>
    <mergeCell ref="AA20:AA27"/>
    <mergeCell ref="AA28:AA35"/>
    <mergeCell ref="AA36:AA43"/>
    <mergeCell ref="AA44:AA51"/>
    <mergeCell ref="AA52:AA59"/>
    <mergeCell ref="AA60:AA67"/>
    <mergeCell ref="AA68:AA75"/>
    <mergeCell ref="AA76:AA83"/>
    <mergeCell ref="AA84:AA9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501532453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WWO_wpscloud_20260120180756-4af9624cc4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86186</dc:creator>
  <cp:lastModifiedBy>一花一世界</cp:lastModifiedBy>
  <dcterms:created xsi:type="dcterms:W3CDTF">2025-01-28T16:25:00Z</dcterms:created>
  <dcterms:modified xsi:type="dcterms:W3CDTF">2026-02-17T03:38:00Z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1F346C29B8904B79A31A1BDAC46DFB6A_13</vt:lpwstr>
  </property>
  <property fmtid="{D5CDD505-2E9C-101B-9397-08002B2CF9AE}" pid="3" name="KSOProductBuildVer">
    <vt:lpwstr>2052-12.9.0.25172</vt:lpwstr>
  </property>
  <property fmtid="{D5CDD505-2E9C-101B-9397-08002B2CF9AE}" pid="4" name="CalculationRule">
    <vt:i4>0</vt:i4>
  </property>
</Properties>
</file>