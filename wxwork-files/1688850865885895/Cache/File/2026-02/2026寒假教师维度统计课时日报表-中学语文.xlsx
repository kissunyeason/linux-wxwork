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每日报表及近期任务\每日报表\"/>
    </mc:Choice>
  </mc:AlternateContent>
  <xr:revisionPtr revIDLastSave="0" documentId="8_{E5CEACC7-E4F5-4582-8627-8197F10F143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学科组" sheetId="66" r:id="rId1"/>
    <sheet name="汇总" sheetId="67" r:id="rId2"/>
    <sheet name="失课控制" sheetId="68" r:id="rId3"/>
    <sheet name="排期" sheetId="69" r:id="rId4"/>
  </sheets>
  <definedNames>
    <definedName name="_xlnm._FilterDatabase" localSheetId="1" hidden="1">汇总!$A$2:$V$51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67" l="1"/>
  <c r="M8" i="67"/>
  <c r="M7" i="67"/>
  <c r="M6" i="67"/>
  <c r="M5" i="67"/>
  <c r="M4" i="67"/>
  <c r="M3" i="67"/>
  <c r="E4" i="67"/>
  <c r="E5" i="67"/>
  <c r="E6" i="67"/>
  <c r="E7" i="67"/>
  <c r="E8" i="67"/>
  <c r="E9" i="67"/>
  <c r="M5" i="66"/>
  <c r="AJ51" i="67" l="1"/>
  <c r="AI51" i="67"/>
  <c r="AH51" i="67"/>
  <c r="AG51" i="67"/>
  <c r="AF51" i="67"/>
  <c r="AE51" i="67"/>
  <c r="AD51" i="67"/>
  <c r="AC51" i="67"/>
  <c r="AB51" i="67"/>
  <c r="AA51" i="67"/>
  <c r="Z51" i="67"/>
  <c r="Y51" i="67"/>
  <c r="X51" i="67"/>
  <c r="W51" i="67"/>
  <c r="V51" i="67"/>
  <c r="U51" i="67"/>
  <c r="T51" i="67"/>
  <c r="S51" i="67"/>
  <c r="R51" i="67"/>
  <c r="Q51" i="67"/>
  <c r="P51" i="67"/>
  <c r="O51" i="67"/>
  <c r="N51" i="67"/>
  <c r="M51" i="67"/>
  <c r="L51" i="67"/>
  <c r="K51" i="67"/>
  <c r="I51" i="67"/>
  <c r="H51" i="67"/>
  <c r="G51" i="67"/>
  <c r="F51" i="67"/>
  <c r="D51" i="67"/>
  <c r="E51" i="67" s="1"/>
  <c r="C51" i="67"/>
  <c r="E3" i="67"/>
  <c r="AJ10" i="66"/>
  <c r="AI10" i="66"/>
  <c r="AH10" i="66"/>
  <c r="AG10" i="66"/>
  <c r="AF10" i="66"/>
  <c r="AE10" i="66"/>
  <c r="AD10" i="66"/>
  <c r="AC10" i="66"/>
  <c r="AB10" i="66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L10" i="66"/>
  <c r="K10" i="66"/>
  <c r="I10" i="66"/>
  <c r="H10" i="66"/>
  <c r="G10" i="66"/>
  <c r="F10" i="66"/>
  <c r="D10" i="66"/>
  <c r="C10" i="66"/>
  <c r="M9" i="66"/>
  <c r="E9" i="66"/>
  <c r="M8" i="66"/>
  <c r="E8" i="66"/>
  <c r="M7" i="66"/>
  <c r="E7" i="66"/>
  <c r="M6" i="66"/>
  <c r="E6" i="66"/>
  <c r="E5" i="66"/>
  <c r="M4" i="66"/>
  <c r="E4" i="66"/>
  <c r="M3" i="66"/>
  <c r="E3" i="66"/>
  <c r="E10" i="66" l="1"/>
  <c r="M10" i="66"/>
</calcChain>
</file>

<file path=xl/sharedStrings.xml><?xml version="1.0" encoding="utf-8"?>
<sst xmlns="http://schemas.openxmlformats.org/spreadsheetml/2006/main" count="134" uniqueCount="71">
  <si>
    <t>2026性化事业部初中2月5日课时日报表</t>
  </si>
  <si>
    <t>2月5日至3月4日个性化初中教师每日实际课时统计</t>
  </si>
  <si>
    <t>学段</t>
  </si>
  <si>
    <t>教师姓名</t>
  </si>
  <si>
    <t>在册学员</t>
  </si>
  <si>
    <t>在读学员</t>
  </si>
  <si>
    <t>行课率</t>
  </si>
  <si>
    <t>当日预排</t>
  </si>
  <si>
    <t>当日实际</t>
  </si>
  <si>
    <t>明日预排</t>
  </si>
  <si>
    <t xml:space="preserve">累计课时
2.5开始 </t>
  </si>
  <si>
    <t>累计课时排名</t>
  </si>
  <si>
    <t>2月预排总课时
2.5-2.28</t>
  </si>
  <si>
    <t>3月预排总课时
3.1-3.4</t>
  </si>
  <si>
    <t>寒假预排总课时
2.5-3.4</t>
  </si>
  <si>
    <t>2.1-2.4
累计课时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</si>
  <si>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</si>
  <si>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</si>
  <si>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</si>
  <si>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</si>
  <si>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</si>
  <si>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</si>
  <si>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</si>
  <si>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</si>
  <si>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</si>
  <si>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</si>
  <si>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</si>
  <si>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</si>
  <si>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</si>
  <si>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</si>
  <si>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</si>
  <si>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</si>
  <si>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</si>
  <si>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</si>
  <si>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</si>
  <si>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</si>
  <si>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</si>
  <si>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</si>
  <si>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尹通</t>
  </si>
  <si>
    <t>合计</t>
  </si>
  <si>
    <t>——</t>
  </si>
  <si>
    <t>\</t>
  </si>
  <si>
    <t>2026年寒假集训期间失课统计控制</t>
  </si>
  <si>
    <t>序号</t>
  </si>
  <si>
    <t>日期</t>
  </si>
  <si>
    <t>学生</t>
  </si>
  <si>
    <t>失课原因</t>
  </si>
  <si>
    <t>预计补回时间</t>
  </si>
  <si>
    <t>实际补回情况</t>
  </si>
  <si>
    <t>张明</t>
  </si>
  <si>
    <t>2月x日</t>
  </si>
  <si>
    <t>是</t>
  </si>
  <si>
    <t>从2月5日开始至3月4日每日教师大群课时统计</t>
  </si>
  <si>
    <t>统计负责人</t>
  </si>
  <si>
    <t>2月5日-2月8日</t>
  </si>
  <si>
    <t>李少阳</t>
  </si>
  <si>
    <t>2月9日-2月12日</t>
  </si>
  <si>
    <t>和莹楠</t>
  </si>
  <si>
    <t>2月13日-2月15日、2月22日</t>
  </si>
  <si>
    <t>李霄强</t>
  </si>
  <si>
    <t>2月23日-2月27日</t>
  </si>
  <si>
    <t>2月28日-3月5日</t>
  </si>
  <si>
    <t>杜先锋</t>
  </si>
  <si>
    <t>中学语文</t>
    <phoneticPr fontId="7" type="noConversion"/>
  </si>
  <si>
    <t>王珏</t>
    <phoneticPr fontId="7" type="noConversion"/>
  </si>
  <si>
    <t>田园</t>
    <phoneticPr fontId="7" type="noConversion"/>
  </si>
  <si>
    <t>郭正婕</t>
    <phoneticPr fontId="7" type="noConversion"/>
  </si>
  <si>
    <t>孙晓芳</t>
    <phoneticPr fontId="7" type="noConversion"/>
  </si>
  <si>
    <t>宋小玲</t>
    <phoneticPr fontId="7" type="noConversion"/>
  </si>
  <si>
    <t>詹星</t>
    <phoneticPr fontId="7" type="noConversion"/>
  </si>
  <si>
    <t>李佳佳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</si>
</sst>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000000"/>
      <name val="DengXian"/>
      <charset val="134"/>
      <scheme val="minor"/>
    </font>
    <font>
      <sz val="9"/>
      <name val="DengXian"/>
      <charset val="134"/>
      <scheme val="minor"/>
    </font>
    <font>
      <b/>
      <sz val="10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tabSelected="1" zoomScale="85" zoomScaleNormal="85" workbookViewId="0">
      <selection activeCell="M21" sqref="M21"/>
    </sheetView>
  </sheetViews>
  <sheetFormatPr defaultColWidth="11" defaultRowHeight="15.6"/>
  <cols>
    <col min="1" max="1" width="8.26953125" customWidth="1"/>
    <col min="2" max="4" width="9.6328125" customWidth="1"/>
    <col min="5" max="5" width="8.6328125" customWidth="1"/>
    <col min="6" max="8" width="8.7265625" customWidth="1"/>
    <col min="9" max="9" width="9.81640625" customWidth="1"/>
    <col min="10" max="10" width="12.1796875" customWidth="1"/>
    <col min="11" max="12" width="15.54296875" customWidth="1"/>
    <col min="13" max="13" width="15.36328125" customWidth="1"/>
    <col min="14" max="14" width="9.6328125" customWidth="1"/>
    <col min="15" max="36" width="6.1796875" customWidth="1"/>
  </cols>
  <sheetData>
    <row r="1" spans="1:36" ht="17.399999999999999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"/>
      <c r="O1" s="29" t="s">
        <v>1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 spans="1:36" ht="34.799999999999997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5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24" t="s">
        <v>16</v>
      </c>
      <c r="P2" s="24" t="s">
        <v>17</v>
      </c>
      <c r="Q2" s="24" t="s">
        <v>18</v>
      </c>
      <c r="R2" s="24" t="s">
        <v>19</v>
      </c>
      <c r="S2" s="24" t="s">
        <v>20</v>
      </c>
      <c r="T2" s="24" t="s">
        <v>21</v>
      </c>
      <c r="U2" s="24" t="s">
        <v>22</v>
      </c>
      <c r="V2" s="24" t="s">
        <v>23</v>
      </c>
      <c r="W2" s="24" t="s">
        <v>24</v>
      </c>
      <c r="X2" s="24" t="s">
        <v>25</v>
      </c>
      <c r="Y2" s="24" t="s">
        <v>26</v>
      </c>
      <c r="Z2" s="24" t="s">
        <v>27</v>
      </c>
      <c r="AA2" s="24" t="s">
        <v>28</v>
      </c>
      <c r="AB2" s="24" t="s">
        <v>29</v>
      </c>
      <c r="AC2" s="24" t="s">
        <v>30</v>
      </c>
      <c r="AD2" s="24" t="s">
        <v>31</v>
      </c>
      <c r="AE2" s="24" t="s">
        <v>32</v>
      </c>
      <c r="AF2" s="24" t="s">
        <v>33</v>
      </c>
      <c r="AG2" s="24" t="s">
        <v>34</v>
      </c>
      <c r="AH2" s="24" t="s">
        <v>35</v>
      </c>
      <c r="AI2" s="24" t="s">
        <v>36</v>
      </c>
      <c r="AJ2" s="24" t="s">
        <v>37</v>
      </c>
    </row>
    <row r="3" spans="1:36">
      <c r="A3" s="36" t="s">
        <v>63</v>
      </c>
      <c r="B3" s="36" t="s">
        <v>64</v>
      </c>
      <c r="C3" s="7">
        <v>9</v>
      </c>
      <c r="D3" s="7">
        <v>6</v>
      </c>
      <c r="E3" s="8">
        <f t="shared" ref="E3:E10" si="0">D3/C3</f>
        <v>0.66666666666666663</v>
      </c>
      <c r="F3" s="7">
        <v>6</v>
      </c>
      <c r="G3" s="7">
        <v>6</v>
      </c>
      <c r="H3" s="7">
        <v>6</v>
      </c>
      <c r="I3" s="7">
        <v>19.5</v>
      </c>
      <c r="J3" s="7">
        <v>3</v>
      </c>
      <c r="K3" s="7">
        <v>110</v>
      </c>
      <c r="L3" s="7">
        <v>18</v>
      </c>
      <c r="M3" s="7">
        <f>K3+L3</f>
        <v>128</v>
      </c>
      <c r="N3" s="7">
        <v>19.5</v>
      </c>
      <c r="O3" s="7">
        <v>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>
      <c r="A4" s="36" t="s">
        <v>63</v>
      </c>
      <c r="B4" s="36" t="s">
        <v>65</v>
      </c>
      <c r="C4" s="7">
        <v>8</v>
      </c>
      <c r="D4" s="7">
        <v>6</v>
      </c>
      <c r="E4" s="8">
        <f t="shared" si="0"/>
        <v>0.75</v>
      </c>
      <c r="F4" s="7">
        <v>6</v>
      </c>
      <c r="G4" s="7">
        <v>6</v>
      </c>
      <c r="H4" s="7">
        <v>8</v>
      </c>
      <c r="I4" s="7">
        <v>12</v>
      </c>
      <c r="J4" s="7">
        <v>6</v>
      </c>
      <c r="K4" s="7">
        <v>134</v>
      </c>
      <c r="L4" s="7">
        <v>28</v>
      </c>
      <c r="M4" s="7">
        <f t="shared" ref="M4:M9" si="1">K4+L4</f>
        <v>162</v>
      </c>
      <c r="N4" s="7">
        <v>12</v>
      </c>
      <c r="O4" s="7">
        <v>6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>
      <c r="A5" s="36" t="s">
        <v>63</v>
      </c>
      <c r="B5" s="36" t="s">
        <v>66</v>
      </c>
      <c r="C5" s="7">
        <v>12</v>
      </c>
      <c r="D5" s="7">
        <v>8</v>
      </c>
      <c r="E5" s="8">
        <f t="shared" si="0"/>
        <v>0.66666666666666663</v>
      </c>
      <c r="F5" s="7">
        <v>7.5</v>
      </c>
      <c r="G5" s="7">
        <v>7.5</v>
      </c>
      <c r="H5" s="7">
        <v>7.5</v>
      </c>
      <c r="I5" s="7">
        <v>26</v>
      </c>
      <c r="J5" s="7">
        <v>2</v>
      </c>
      <c r="K5" s="7">
        <v>157</v>
      </c>
      <c r="L5" s="7">
        <v>17</v>
      </c>
      <c r="M5" s="7">
        <f t="shared" si="1"/>
        <v>174</v>
      </c>
      <c r="N5" s="7">
        <v>26</v>
      </c>
      <c r="O5" s="7">
        <v>7.5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>
      <c r="A6" s="36" t="s">
        <v>63</v>
      </c>
      <c r="B6" s="36" t="s">
        <v>67</v>
      </c>
      <c r="C6" s="7">
        <v>10</v>
      </c>
      <c r="D6" s="7">
        <v>7</v>
      </c>
      <c r="E6" s="8">
        <f t="shared" si="0"/>
        <v>0.7</v>
      </c>
      <c r="F6" s="7">
        <v>10</v>
      </c>
      <c r="G6" s="7">
        <v>10</v>
      </c>
      <c r="H6" s="7">
        <v>10</v>
      </c>
      <c r="I6" s="7">
        <v>33</v>
      </c>
      <c r="J6" s="7">
        <v>1</v>
      </c>
      <c r="K6" s="7">
        <v>140</v>
      </c>
      <c r="L6" s="7">
        <v>24</v>
      </c>
      <c r="M6" s="7">
        <f t="shared" si="1"/>
        <v>164</v>
      </c>
      <c r="N6" s="7">
        <v>33</v>
      </c>
      <c r="O6" s="7">
        <v>10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>
      <c r="A7" s="36" t="s">
        <v>63</v>
      </c>
      <c r="B7" s="36" t="s">
        <v>68</v>
      </c>
      <c r="C7" s="7">
        <v>10</v>
      </c>
      <c r="D7" s="7">
        <v>7</v>
      </c>
      <c r="E7" s="8">
        <f t="shared" si="0"/>
        <v>0.7</v>
      </c>
      <c r="F7" s="7">
        <v>6</v>
      </c>
      <c r="G7" s="7">
        <v>6</v>
      </c>
      <c r="H7" s="7">
        <v>10</v>
      </c>
      <c r="I7" s="7">
        <v>17</v>
      </c>
      <c r="J7" s="7">
        <v>4</v>
      </c>
      <c r="K7" s="7">
        <v>146</v>
      </c>
      <c r="L7" s="7">
        <v>20</v>
      </c>
      <c r="M7" s="7">
        <f t="shared" si="1"/>
        <v>166</v>
      </c>
      <c r="N7" s="7">
        <v>17</v>
      </c>
      <c r="O7" s="7">
        <v>6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>
      <c r="A8" s="36" t="s">
        <v>63</v>
      </c>
      <c r="B8" s="36" t="s">
        <v>69</v>
      </c>
      <c r="C8" s="7">
        <v>8</v>
      </c>
      <c r="D8" s="7">
        <v>6</v>
      </c>
      <c r="E8" s="8">
        <f t="shared" si="0"/>
        <v>0.75</v>
      </c>
      <c r="F8" s="7">
        <v>8</v>
      </c>
      <c r="G8" s="7">
        <v>8</v>
      </c>
      <c r="H8" s="7">
        <v>8</v>
      </c>
      <c r="I8" s="7">
        <v>17</v>
      </c>
      <c r="J8" s="7">
        <v>4</v>
      </c>
      <c r="K8" s="7">
        <v>140</v>
      </c>
      <c r="L8" s="7">
        <v>36</v>
      </c>
      <c r="M8" s="7">
        <f t="shared" si="1"/>
        <v>176</v>
      </c>
      <c r="N8" s="7">
        <v>17</v>
      </c>
      <c r="O8" s="7">
        <v>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>
      <c r="A9" s="36" t="s">
        <v>63</v>
      </c>
      <c r="B9" s="36" t="s">
        <v>70</v>
      </c>
      <c r="C9" s="7">
        <v>3</v>
      </c>
      <c r="D9" s="7">
        <v>3</v>
      </c>
      <c r="E9" s="8">
        <f t="shared" si="0"/>
        <v>1</v>
      </c>
      <c r="F9" s="7">
        <v>0</v>
      </c>
      <c r="G9" s="7">
        <v>0</v>
      </c>
      <c r="H9" s="7">
        <v>7</v>
      </c>
      <c r="I9" s="7">
        <v>7.5</v>
      </c>
      <c r="J9" s="7">
        <v>7</v>
      </c>
      <c r="K9" s="7">
        <v>57.5</v>
      </c>
      <c r="L9" s="7">
        <v>12</v>
      </c>
      <c r="M9" s="7">
        <f t="shared" si="1"/>
        <v>69.5</v>
      </c>
      <c r="N9" s="7">
        <v>7.5</v>
      </c>
      <c r="O9" s="7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>
      <c r="A10" s="30" t="s">
        <v>39</v>
      </c>
      <c r="B10" s="31"/>
      <c r="C10" s="20">
        <f>SUM(C3:C9)</f>
        <v>60</v>
      </c>
      <c r="D10" s="20">
        <f>SUM(D3:D9)</f>
        <v>43</v>
      </c>
      <c r="E10" s="21">
        <f t="shared" si="0"/>
        <v>0.71666666666666667</v>
      </c>
      <c r="F10" s="20">
        <f>SUM(F3:F9)</f>
        <v>43.5</v>
      </c>
      <c r="G10" s="20">
        <f>SUM(G3:G9)</f>
        <v>43.5</v>
      </c>
      <c r="H10" s="20">
        <f>SUM(H3:H9)</f>
        <v>56.5</v>
      </c>
      <c r="I10" s="20">
        <f>SUM(I3:I9)</f>
        <v>132</v>
      </c>
      <c r="J10" s="22" t="s">
        <v>40</v>
      </c>
      <c r="K10" s="22">
        <f>SUM(K3:K9)</f>
        <v>884.5</v>
      </c>
      <c r="L10" s="22">
        <f>SUM(L3:L9)</f>
        <v>155</v>
      </c>
      <c r="M10" s="22">
        <f>SUM(M3:M9)</f>
        <v>1039.5</v>
      </c>
      <c r="N10" s="22">
        <f>SUM(N3:N9)</f>
        <v>132</v>
      </c>
      <c r="O10" s="22">
        <f>SUM(O3:O9)</f>
        <v>43.5</v>
      </c>
      <c r="P10" s="22">
        <f>SUM(P3:P9)</f>
        <v>0</v>
      </c>
      <c r="Q10" s="22">
        <f>SUM(Q3:Q9)</f>
        <v>0</v>
      </c>
      <c r="R10" s="22">
        <f>SUM(R3:R9)</f>
        <v>0</v>
      </c>
      <c r="S10" s="22">
        <f>SUM(S3:S9)</f>
        <v>0</v>
      </c>
      <c r="T10" s="22">
        <f>SUM(T3:T9)</f>
        <v>0</v>
      </c>
      <c r="U10" s="22">
        <f>SUM(U3:U9)</f>
        <v>0</v>
      </c>
      <c r="V10" s="22">
        <f>SUM(V3:V9)</f>
        <v>0</v>
      </c>
      <c r="W10" s="22">
        <f>SUM(W3:W9)</f>
        <v>0</v>
      </c>
      <c r="X10" s="22">
        <f>SUM(X3:X9)</f>
        <v>0</v>
      </c>
      <c r="Y10" s="22">
        <f>SUM(Y3:Y9)</f>
        <v>0</v>
      </c>
      <c r="Z10" s="22">
        <f>SUM(Z3:Z9)</f>
        <v>0</v>
      </c>
      <c r="AA10" s="22">
        <f>SUM(AA3:AA9)</f>
        <v>0</v>
      </c>
      <c r="AB10" s="22">
        <f>SUM(AB3:AB9)</f>
        <v>0</v>
      </c>
      <c r="AC10" s="23">
        <f>SUM(AC3:AC9)</f>
        <v>0</v>
      </c>
      <c r="AD10" s="23">
        <f>SUM(AD3:AD9)</f>
        <v>0</v>
      </c>
      <c r="AE10" s="23">
        <f>SUM(AE3:AE9)</f>
        <v>0</v>
      </c>
      <c r="AF10" s="23">
        <f>SUM(AF3:AF9)</f>
        <v>0</v>
      </c>
      <c r="AG10" s="23">
        <f>SUM(AG3:AG9)</f>
        <v>0</v>
      </c>
      <c r="AH10" s="23">
        <f>SUM(AH3:AH9)</f>
        <v>0</v>
      </c>
      <c r="AI10" s="23">
        <f>SUM(AI3:AI9)</f>
        <v>0</v>
      </c>
      <c r="AJ10" s="23">
        <f>SUM(AJ3:AJ9)</f>
        <v>0</v>
      </c>
    </row>
    <row r="15" spans="1:36">
      <c r="J15" t="s">
        <v>41</v>
      </c>
    </row>
  </sheetData>
  <sortState xmlns:xlrd2="http://schemas.microsoft.com/office/spreadsheetml/2017/richdata2" ref="A2:AL11">
    <sortCondition descending="1" ref="I2:I11"/>
  </sortState>
  <mergeCells count="3">
    <mergeCell ref="A1:M1"/>
    <mergeCell ref="O1:AJ1"/>
    <mergeCell ref="A10:B10"/>
  </mergeCells>
  <phoneticPr fontId="7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1"/>
  <sheetViews>
    <sheetView workbookViewId="0">
      <selection activeCell="K14" sqref="K14"/>
    </sheetView>
  </sheetViews>
  <sheetFormatPr defaultColWidth="9.08984375" defaultRowHeight="15.6"/>
  <cols>
    <col min="3" max="5" width="8" customWidth="1"/>
    <col min="6" max="8" width="8.1796875" customWidth="1"/>
    <col min="9" max="9" width="10.26953125" customWidth="1"/>
    <col min="10" max="10" width="12" customWidth="1"/>
    <col min="11" max="13" width="14.453125" customWidth="1"/>
    <col min="14" max="14" width="9.90625" customWidth="1"/>
    <col min="15" max="18" width="6.90625" customWidth="1"/>
  </cols>
  <sheetData>
    <row r="1" spans="1:36" ht="17.399999999999999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 t="s">
        <v>1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 spans="1:36" ht="34.799999999999997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5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25" t="s">
        <v>16</v>
      </c>
      <c r="P2" s="26" t="s">
        <v>17</v>
      </c>
      <c r="Q2" s="26" t="s">
        <v>18</v>
      </c>
      <c r="R2" s="26" t="s">
        <v>19</v>
      </c>
      <c r="S2" s="26" t="s">
        <v>20</v>
      </c>
      <c r="T2" s="26" t="s">
        <v>21</v>
      </c>
      <c r="U2" s="26" t="s">
        <v>22</v>
      </c>
      <c r="V2" s="26" t="s">
        <v>23</v>
      </c>
      <c r="W2" s="26" t="s">
        <v>24</v>
      </c>
      <c r="X2" s="26" t="s">
        <v>25</v>
      </c>
      <c r="Y2" s="26" t="s">
        <v>26</v>
      </c>
      <c r="Z2" s="26" t="s">
        <v>27</v>
      </c>
      <c r="AA2" s="26" t="s">
        <v>28</v>
      </c>
      <c r="AB2" s="26" t="s">
        <v>29</v>
      </c>
      <c r="AC2" s="26" t="s">
        <v>30</v>
      </c>
      <c r="AD2" s="26" t="s">
        <v>31</v>
      </c>
      <c r="AE2" s="26" t="s">
        <v>32</v>
      </c>
      <c r="AF2" s="26" t="s">
        <v>33</v>
      </c>
      <c r="AG2" s="26" t="s">
        <v>34</v>
      </c>
      <c r="AH2" s="26" t="s">
        <v>35</v>
      </c>
      <c r="AI2" s="26" t="s">
        <v>36</v>
      </c>
      <c r="AJ2" s="27" t="s">
        <v>37</v>
      </c>
    </row>
    <row r="3" spans="1:36" ht="19.05" customHeight="1">
      <c r="A3" s="36" t="s">
        <v>63</v>
      </c>
      <c r="B3" s="36" t="s">
        <v>64</v>
      </c>
      <c r="C3" s="7">
        <v>9</v>
      </c>
      <c r="D3" s="7">
        <v>6</v>
      </c>
      <c r="E3" s="8">
        <f>D3/C3</f>
        <v>0.66666666666666663</v>
      </c>
      <c r="F3" s="7">
        <v>6</v>
      </c>
      <c r="G3" s="7">
        <v>6</v>
      </c>
      <c r="H3" s="7">
        <v>6</v>
      </c>
      <c r="I3" s="7">
        <v>19.5</v>
      </c>
      <c r="J3" s="7">
        <v>3</v>
      </c>
      <c r="K3" s="7">
        <v>110</v>
      </c>
      <c r="L3" s="7">
        <v>18</v>
      </c>
      <c r="M3" s="7">
        <f>K3+L3</f>
        <v>128</v>
      </c>
      <c r="N3" s="7">
        <v>19.5</v>
      </c>
      <c r="O3" s="7">
        <v>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10"/>
    </row>
    <row r="4" spans="1:36" ht="19.05" customHeight="1">
      <c r="A4" s="36" t="s">
        <v>63</v>
      </c>
      <c r="B4" s="36" t="s">
        <v>65</v>
      </c>
      <c r="C4" s="7">
        <v>8</v>
      </c>
      <c r="D4" s="7">
        <v>6</v>
      </c>
      <c r="E4" s="8">
        <f t="shared" ref="E4:E9" si="0">D4/C4</f>
        <v>0.75</v>
      </c>
      <c r="F4" s="7">
        <v>6</v>
      </c>
      <c r="G4" s="7">
        <v>6</v>
      </c>
      <c r="H4" s="7">
        <v>8</v>
      </c>
      <c r="I4" s="7">
        <v>12</v>
      </c>
      <c r="J4" s="7">
        <v>6</v>
      </c>
      <c r="K4" s="7">
        <v>134</v>
      </c>
      <c r="L4" s="7">
        <v>28</v>
      </c>
      <c r="M4" s="7">
        <f t="shared" ref="M4:M9" si="1">K4+L4</f>
        <v>162</v>
      </c>
      <c r="N4" s="7">
        <v>12</v>
      </c>
      <c r="O4" s="7">
        <v>6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0"/>
    </row>
    <row r="5" spans="1:36" ht="19.05" customHeight="1">
      <c r="A5" s="36" t="s">
        <v>63</v>
      </c>
      <c r="B5" s="36" t="s">
        <v>66</v>
      </c>
      <c r="C5" s="7">
        <v>12</v>
      </c>
      <c r="D5" s="7">
        <v>8</v>
      </c>
      <c r="E5" s="8">
        <f t="shared" si="0"/>
        <v>0.66666666666666663</v>
      </c>
      <c r="F5" s="7">
        <v>7.5</v>
      </c>
      <c r="G5" s="7">
        <v>7.5</v>
      </c>
      <c r="H5" s="7">
        <v>7.5</v>
      </c>
      <c r="I5" s="7">
        <v>26</v>
      </c>
      <c r="J5" s="7">
        <v>2</v>
      </c>
      <c r="K5" s="7">
        <v>157</v>
      </c>
      <c r="L5" s="7">
        <v>17</v>
      </c>
      <c r="M5" s="7">
        <f t="shared" si="1"/>
        <v>174</v>
      </c>
      <c r="N5" s="7">
        <v>26</v>
      </c>
      <c r="O5" s="7">
        <v>7.5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</row>
    <row r="6" spans="1:36" ht="19.05" customHeight="1">
      <c r="A6" s="36" t="s">
        <v>63</v>
      </c>
      <c r="B6" s="36" t="s">
        <v>67</v>
      </c>
      <c r="C6" s="7">
        <v>10</v>
      </c>
      <c r="D6" s="7">
        <v>7</v>
      </c>
      <c r="E6" s="8">
        <f t="shared" si="0"/>
        <v>0.7</v>
      </c>
      <c r="F6" s="7">
        <v>10</v>
      </c>
      <c r="G6" s="7">
        <v>10</v>
      </c>
      <c r="H6" s="7">
        <v>10</v>
      </c>
      <c r="I6" s="7">
        <v>33</v>
      </c>
      <c r="J6" s="7">
        <v>1</v>
      </c>
      <c r="K6" s="7">
        <v>140</v>
      </c>
      <c r="L6" s="7">
        <v>24</v>
      </c>
      <c r="M6" s="7">
        <f t="shared" si="1"/>
        <v>164</v>
      </c>
      <c r="N6" s="7">
        <v>33</v>
      </c>
      <c r="O6" s="7">
        <v>10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10"/>
    </row>
    <row r="7" spans="1:36" ht="19.05" customHeight="1">
      <c r="A7" s="36" t="s">
        <v>63</v>
      </c>
      <c r="B7" s="36" t="s">
        <v>68</v>
      </c>
      <c r="C7" s="7">
        <v>10</v>
      </c>
      <c r="D7" s="7">
        <v>7</v>
      </c>
      <c r="E7" s="8">
        <f t="shared" si="0"/>
        <v>0.7</v>
      </c>
      <c r="F7" s="7">
        <v>6</v>
      </c>
      <c r="G7" s="7">
        <v>6</v>
      </c>
      <c r="H7" s="7">
        <v>10</v>
      </c>
      <c r="I7" s="7">
        <v>17</v>
      </c>
      <c r="J7" s="7">
        <v>4</v>
      </c>
      <c r="K7" s="7">
        <v>146</v>
      </c>
      <c r="L7" s="7">
        <v>20</v>
      </c>
      <c r="M7" s="7">
        <f t="shared" si="1"/>
        <v>166</v>
      </c>
      <c r="N7" s="7">
        <v>17</v>
      </c>
      <c r="O7" s="7">
        <v>6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10"/>
    </row>
    <row r="8" spans="1:36" ht="19.05" customHeight="1">
      <c r="A8" s="36" t="s">
        <v>63</v>
      </c>
      <c r="B8" s="36" t="s">
        <v>69</v>
      </c>
      <c r="C8" s="7">
        <v>8</v>
      </c>
      <c r="D8" s="7">
        <v>6</v>
      </c>
      <c r="E8" s="8">
        <f t="shared" si="0"/>
        <v>0.75</v>
      </c>
      <c r="F8" s="7">
        <v>8</v>
      </c>
      <c r="G8" s="7">
        <v>8</v>
      </c>
      <c r="H8" s="7">
        <v>8</v>
      </c>
      <c r="I8" s="7">
        <v>17</v>
      </c>
      <c r="J8" s="7">
        <v>4</v>
      </c>
      <c r="K8" s="7">
        <v>140</v>
      </c>
      <c r="L8" s="7">
        <v>36</v>
      </c>
      <c r="M8" s="7">
        <f t="shared" si="1"/>
        <v>176</v>
      </c>
      <c r="N8" s="7">
        <v>17</v>
      </c>
      <c r="O8" s="7">
        <v>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10"/>
    </row>
    <row r="9" spans="1:36" ht="19.05" customHeight="1">
      <c r="A9" s="36" t="s">
        <v>63</v>
      </c>
      <c r="B9" s="36" t="s">
        <v>70</v>
      </c>
      <c r="C9" s="7">
        <v>3</v>
      </c>
      <c r="D9" s="7">
        <v>3</v>
      </c>
      <c r="E9" s="8">
        <f t="shared" si="0"/>
        <v>1</v>
      </c>
      <c r="F9" s="7">
        <v>0</v>
      </c>
      <c r="G9" s="7">
        <v>0</v>
      </c>
      <c r="H9" s="7">
        <v>7</v>
      </c>
      <c r="I9" s="7">
        <v>7.5</v>
      </c>
      <c r="J9" s="7">
        <v>7</v>
      </c>
      <c r="K9" s="7">
        <v>57.5</v>
      </c>
      <c r="L9" s="7">
        <v>12</v>
      </c>
      <c r="M9" s="7">
        <f t="shared" si="1"/>
        <v>69.5</v>
      </c>
      <c r="N9" s="7">
        <v>7.5</v>
      </c>
      <c r="O9" s="7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10"/>
    </row>
    <row r="10" spans="1:36" ht="19.05" customHeight="1">
      <c r="A10" s="9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9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0"/>
    </row>
    <row r="11" spans="1:36" ht="19.05" customHeight="1">
      <c r="A11" s="9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9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0"/>
    </row>
    <row r="12" spans="1:36" ht="19.05" customHeight="1">
      <c r="A12" s="9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11"/>
      <c r="O12" s="9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0"/>
    </row>
    <row r="13" spans="1:36" ht="19.05" customHeight="1">
      <c r="A13" s="9"/>
      <c r="B13" s="7"/>
      <c r="C13" s="7"/>
      <c r="D13" s="7"/>
      <c r="E13" s="8"/>
      <c r="F13" s="7"/>
      <c r="G13" s="7"/>
      <c r="H13" s="7"/>
      <c r="I13" s="7"/>
      <c r="J13" s="7"/>
      <c r="K13" s="7"/>
      <c r="L13" s="7"/>
      <c r="M13" s="7"/>
      <c r="N13" s="11"/>
      <c r="O13" s="9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0"/>
    </row>
    <row r="14" spans="1:36" ht="19.05" customHeight="1">
      <c r="A14" s="9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11"/>
      <c r="O14" s="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0"/>
    </row>
    <row r="15" spans="1:36" ht="19.05" customHeight="1">
      <c r="A15" s="9"/>
      <c r="B15" s="7"/>
      <c r="C15" s="7"/>
      <c r="D15" s="7"/>
      <c r="E15" s="8"/>
      <c r="F15" s="7"/>
      <c r="G15" s="7"/>
      <c r="H15" s="7"/>
      <c r="I15" s="7"/>
      <c r="J15" s="7"/>
      <c r="K15" s="7"/>
      <c r="L15" s="7"/>
      <c r="M15" s="7"/>
      <c r="N15" s="11"/>
      <c r="O15" s="9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0"/>
    </row>
    <row r="16" spans="1:36" ht="19.05" customHeight="1">
      <c r="A16" s="9"/>
      <c r="B16" s="7"/>
      <c r="C16" s="7"/>
      <c r="D16" s="7"/>
      <c r="E16" s="8"/>
      <c r="F16" s="7"/>
      <c r="G16" s="7"/>
      <c r="H16" s="7"/>
      <c r="I16" s="7"/>
      <c r="J16" s="7"/>
      <c r="K16" s="7"/>
      <c r="L16" s="7"/>
      <c r="M16" s="7"/>
      <c r="N16" s="11"/>
      <c r="O16" s="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0"/>
    </row>
    <row r="17" spans="1:36" ht="19.05" customHeight="1">
      <c r="A17" s="9"/>
      <c r="B17" s="7"/>
      <c r="C17" s="7"/>
      <c r="D17" s="7"/>
      <c r="E17" s="8"/>
      <c r="F17" s="7"/>
      <c r="G17" s="7"/>
      <c r="H17" s="7"/>
      <c r="I17" s="7"/>
      <c r="J17" s="7"/>
      <c r="K17" s="7"/>
      <c r="L17" s="7"/>
      <c r="M17" s="7"/>
      <c r="N17" s="11"/>
      <c r="O17" s="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0"/>
    </row>
    <row r="18" spans="1:36" ht="19.05" customHeight="1">
      <c r="A18" s="9"/>
      <c r="B18" s="7"/>
      <c r="C18" s="7"/>
      <c r="D18" s="7"/>
      <c r="E18" s="8"/>
      <c r="F18" s="7"/>
      <c r="G18" s="7"/>
      <c r="H18" s="7"/>
      <c r="I18" s="7"/>
      <c r="J18" s="7"/>
      <c r="K18" s="7"/>
      <c r="L18" s="7"/>
      <c r="M18" s="7"/>
      <c r="N18" s="11"/>
      <c r="O18" s="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0"/>
    </row>
    <row r="19" spans="1:36" ht="19.05" customHeight="1">
      <c r="A19" s="9"/>
      <c r="B19" s="7"/>
      <c r="C19" s="7"/>
      <c r="D19" s="7"/>
      <c r="E19" s="8"/>
      <c r="F19" s="7"/>
      <c r="G19" s="7"/>
      <c r="H19" s="7"/>
      <c r="I19" s="7"/>
      <c r="J19" s="7"/>
      <c r="K19" s="7"/>
      <c r="L19" s="7"/>
      <c r="M19" s="7"/>
      <c r="N19" s="11"/>
      <c r="O19" s="9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0"/>
    </row>
    <row r="20" spans="1:36" ht="19.05" customHeight="1">
      <c r="A20" s="9"/>
      <c r="B20" s="7"/>
      <c r="C20" s="7"/>
      <c r="D20" s="7"/>
      <c r="E20" s="8"/>
      <c r="F20" s="7"/>
      <c r="G20" s="7"/>
      <c r="H20" s="7"/>
      <c r="I20" s="7"/>
      <c r="J20" s="7"/>
      <c r="K20" s="7"/>
      <c r="L20" s="7"/>
      <c r="M20" s="7"/>
      <c r="N20" s="11"/>
      <c r="O20" s="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0"/>
    </row>
    <row r="21" spans="1:36" ht="19.05" customHeight="1">
      <c r="A21" s="9"/>
      <c r="B21" s="7"/>
      <c r="C21" s="7"/>
      <c r="D21" s="7"/>
      <c r="E21" s="8"/>
      <c r="F21" s="7"/>
      <c r="G21" s="7"/>
      <c r="H21" s="7"/>
      <c r="I21" s="7"/>
      <c r="J21" s="7"/>
      <c r="K21" s="7"/>
      <c r="L21" s="7"/>
      <c r="M21" s="7"/>
      <c r="N21" s="11"/>
      <c r="O21" s="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0"/>
    </row>
    <row r="22" spans="1:36" ht="19.05" customHeight="1">
      <c r="A22" s="9"/>
      <c r="B22" s="7"/>
      <c r="C22" s="7"/>
      <c r="D22" s="7"/>
      <c r="E22" s="8"/>
      <c r="F22" s="7"/>
      <c r="G22" s="7"/>
      <c r="H22" s="7"/>
      <c r="I22" s="7"/>
      <c r="J22" s="7"/>
      <c r="K22" s="7"/>
      <c r="L22" s="7"/>
      <c r="M22" s="7"/>
      <c r="N22" s="11"/>
      <c r="O22" s="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0"/>
    </row>
    <row r="23" spans="1:36" ht="19.05" customHeight="1">
      <c r="A23" s="9"/>
      <c r="B23" s="7"/>
      <c r="C23" s="7"/>
      <c r="D23" s="7"/>
      <c r="E23" s="8"/>
      <c r="F23" s="7"/>
      <c r="G23" s="7"/>
      <c r="H23" s="7"/>
      <c r="I23" s="7"/>
      <c r="J23" s="7"/>
      <c r="K23" s="7"/>
      <c r="L23" s="7"/>
      <c r="M23" s="7"/>
      <c r="N23" s="11"/>
      <c r="O23" s="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0"/>
    </row>
    <row r="24" spans="1:36" ht="19.05" customHeight="1">
      <c r="A24" s="9"/>
      <c r="B24" s="7"/>
      <c r="C24" s="7"/>
      <c r="D24" s="7"/>
      <c r="E24" s="8"/>
      <c r="F24" s="7"/>
      <c r="G24" s="7"/>
      <c r="H24" s="7"/>
      <c r="I24" s="7"/>
      <c r="J24" s="7"/>
      <c r="K24" s="7"/>
      <c r="L24" s="7"/>
      <c r="M24" s="7"/>
      <c r="N24" s="11"/>
      <c r="O24" s="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0"/>
    </row>
    <row r="25" spans="1:36" ht="19.05" customHeight="1">
      <c r="A25" s="9"/>
      <c r="B25" s="7"/>
      <c r="C25" s="7"/>
      <c r="D25" s="7"/>
      <c r="E25" s="8"/>
      <c r="F25" s="7"/>
      <c r="G25" s="7"/>
      <c r="H25" s="7"/>
      <c r="I25" s="7"/>
      <c r="J25" s="7"/>
      <c r="K25" s="7"/>
      <c r="L25" s="7"/>
      <c r="M25" s="7"/>
      <c r="N25" s="11"/>
      <c r="O25" s="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0"/>
    </row>
    <row r="26" spans="1:36" ht="19.05" customHeight="1">
      <c r="A26" s="9"/>
      <c r="B26" s="7"/>
      <c r="C26" s="7"/>
      <c r="D26" s="7"/>
      <c r="E26" s="8"/>
      <c r="F26" s="7"/>
      <c r="G26" s="7"/>
      <c r="H26" s="7"/>
      <c r="I26" s="7"/>
      <c r="J26" s="7"/>
      <c r="K26" s="7"/>
      <c r="L26" s="7"/>
      <c r="M26" s="7"/>
      <c r="N26" s="11"/>
      <c r="O26" s="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0"/>
    </row>
    <row r="27" spans="1:36" ht="19.05" customHeight="1">
      <c r="A27" s="9"/>
      <c r="B27" s="7"/>
      <c r="C27" s="7"/>
      <c r="D27" s="7"/>
      <c r="E27" s="8"/>
      <c r="F27" s="7"/>
      <c r="G27" s="7"/>
      <c r="H27" s="7"/>
      <c r="I27" s="7"/>
      <c r="J27" s="7"/>
      <c r="K27" s="7"/>
      <c r="L27" s="7"/>
      <c r="M27" s="7"/>
      <c r="N27" s="11"/>
      <c r="O27" s="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0"/>
    </row>
    <row r="28" spans="1:36" ht="19.05" customHeight="1">
      <c r="A28" s="9"/>
      <c r="B28" s="7"/>
      <c r="C28" s="7"/>
      <c r="D28" s="7"/>
      <c r="E28" s="8"/>
      <c r="F28" s="7"/>
      <c r="G28" s="7"/>
      <c r="H28" s="7"/>
      <c r="I28" s="7"/>
      <c r="J28" s="7"/>
      <c r="K28" s="7"/>
      <c r="L28" s="7"/>
      <c r="M28" s="7"/>
      <c r="N28" s="11"/>
      <c r="O28" s="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0"/>
    </row>
    <row r="29" spans="1:36" ht="19.05" customHeight="1">
      <c r="A29" s="9"/>
      <c r="B29" s="7"/>
      <c r="C29" s="7"/>
      <c r="D29" s="7"/>
      <c r="E29" s="8"/>
      <c r="F29" s="7"/>
      <c r="G29" s="7"/>
      <c r="H29" s="7"/>
      <c r="I29" s="7"/>
      <c r="J29" s="7"/>
      <c r="K29" s="7"/>
      <c r="L29" s="7"/>
      <c r="M29" s="7"/>
      <c r="N29" s="11"/>
      <c r="O29" s="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10"/>
    </row>
    <row r="30" spans="1:36" ht="19.05" customHeight="1">
      <c r="A30" s="9"/>
      <c r="B30" s="7"/>
      <c r="C30" s="7"/>
      <c r="D30" s="7"/>
      <c r="E30" s="8"/>
      <c r="F30" s="7"/>
      <c r="G30" s="7"/>
      <c r="H30" s="7"/>
      <c r="I30" s="7"/>
      <c r="J30" s="7"/>
      <c r="K30" s="7"/>
      <c r="L30" s="7"/>
      <c r="M30" s="7"/>
      <c r="N30" s="11"/>
      <c r="O30" s="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10"/>
    </row>
    <row r="31" spans="1:36" ht="19.05" customHeight="1">
      <c r="A31" s="9"/>
      <c r="B31" s="7"/>
      <c r="C31" s="7"/>
      <c r="D31" s="7"/>
      <c r="E31" s="8"/>
      <c r="F31" s="7"/>
      <c r="G31" s="7"/>
      <c r="H31" s="7"/>
      <c r="I31" s="7"/>
      <c r="J31" s="7"/>
      <c r="K31" s="7"/>
      <c r="L31" s="7"/>
      <c r="M31" s="7"/>
      <c r="N31" s="11"/>
      <c r="O31" s="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10"/>
    </row>
    <row r="32" spans="1:36" ht="19.05" customHeight="1">
      <c r="A32" s="9"/>
      <c r="B32" s="7"/>
      <c r="C32" s="7"/>
      <c r="D32" s="7"/>
      <c r="E32" s="8"/>
      <c r="F32" s="7"/>
      <c r="G32" s="7"/>
      <c r="H32" s="7"/>
      <c r="I32" s="7"/>
      <c r="J32" s="7"/>
      <c r="K32" s="7"/>
      <c r="L32" s="7"/>
      <c r="M32" s="7"/>
      <c r="N32" s="11"/>
      <c r="O32" s="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10"/>
    </row>
    <row r="33" spans="1:36" ht="19.05" customHeight="1">
      <c r="A33" s="9"/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7"/>
      <c r="N33" s="11"/>
      <c r="O33" s="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10"/>
    </row>
    <row r="34" spans="1:36" ht="19.05" customHeight="1">
      <c r="A34" s="9"/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7"/>
      <c r="N34" s="11"/>
      <c r="O34" s="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10"/>
    </row>
    <row r="35" spans="1:36" ht="19.05" customHeight="1">
      <c r="A35" s="9"/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7"/>
      <c r="N35" s="11"/>
      <c r="O35" s="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10"/>
    </row>
    <row r="36" spans="1:36" ht="19.05" customHeight="1">
      <c r="A36" s="9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7"/>
      <c r="N36" s="11"/>
      <c r="O36" s="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10"/>
    </row>
    <row r="37" spans="1:36" ht="19.05" customHeight="1">
      <c r="A37" s="9"/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7"/>
      <c r="N37" s="11"/>
      <c r="O37" s="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10"/>
    </row>
    <row r="38" spans="1:36" ht="19.05" customHeight="1">
      <c r="A38" s="9"/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7"/>
      <c r="N38" s="11"/>
      <c r="O38" s="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10"/>
    </row>
    <row r="39" spans="1:36" ht="19.05" customHeight="1">
      <c r="A39" s="9"/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7"/>
      <c r="N39" s="11"/>
      <c r="O39" s="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10"/>
    </row>
    <row r="40" spans="1:36" ht="19.05" customHeight="1">
      <c r="A40" s="9"/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7"/>
      <c r="N40" s="11"/>
      <c r="O40" s="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0"/>
    </row>
    <row r="41" spans="1:36" ht="19.05" customHeight="1">
      <c r="A41" s="9"/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7"/>
      <c r="N41" s="11"/>
      <c r="O41" s="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10"/>
    </row>
    <row r="42" spans="1:36" ht="19.05" customHeight="1">
      <c r="A42" s="9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7"/>
      <c r="N42" s="11"/>
      <c r="O42" s="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10"/>
    </row>
    <row r="43" spans="1:36" ht="19.05" customHeight="1">
      <c r="A43" s="9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7"/>
      <c r="N43" s="11"/>
      <c r="O43" s="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10"/>
    </row>
    <row r="44" spans="1:36" ht="19.05" customHeight="1">
      <c r="A44" s="9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7"/>
      <c r="N44" s="11"/>
      <c r="O44" s="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10"/>
    </row>
    <row r="45" spans="1:36" ht="19.05" customHeight="1">
      <c r="A45" s="9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7"/>
      <c r="N45" s="11"/>
      <c r="O45" s="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10"/>
    </row>
    <row r="46" spans="1:36" ht="19.05" customHeight="1">
      <c r="A46" s="9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7"/>
      <c r="N46" s="11"/>
      <c r="O46" s="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10"/>
    </row>
    <row r="47" spans="1:36" ht="19.05" customHeight="1">
      <c r="A47" s="9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7"/>
      <c r="N47" s="11"/>
      <c r="O47" s="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10"/>
    </row>
    <row r="48" spans="1:36" ht="19.05" customHeight="1">
      <c r="A48" s="9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7"/>
      <c r="N48" s="11"/>
      <c r="O48" s="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10"/>
    </row>
    <row r="49" spans="1:36" ht="19.05" customHeight="1">
      <c r="A49" s="9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7"/>
      <c r="N49" s="11"/>
      <c r="O49" s="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10"/>
    </row>
    <row r="50" spans="1:36" ht="19.05" customHeight="1">
      <c r="A50" s="9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7"/>
      <c r="N50" s="11"/>
      <c r="O50" s="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10"/>
    </row>
    <row r="51" spans="1:36">
      <c r="A51" s="32" t="s">
        <v>39</v>
      </c>
      <c r="B51" s="33"/>
      <c r="C51" s="13">
        <f>SUM(C3:C50)</f>
        <v>60</v>
      </c>
      <c r="D51" s="13">
        <f>SUM(D3:D50)</f>
        <v>43</v>
      </c>
      <c r="E51" s="14">
        <f t="shared" ref="E51" si="2">D51/C51</f>
        <v>0.71666666666666667</v>
      </c>
      <c r="F51" s="13">
        <f>SUM(F3:F50)</f>
        <v>43.5</v>
      </c>
      <c r="G51" s="13">
        <f>SUM(G3:G50)</f>
        <v>43.5</v>
      </c>
      <c r="H51" s="13">
        <f>SUM(H3:H50)</f>
        <v>56.5</v>
      </c>
      <c r="I51" s="13">
        <f>SUM(I3:I50)</f>
        <v>132</v>
      </c>
      <c r="J51" s="15" t="s">
        <v>40</v>
      </c>
      <c r="K51" s="13">
        <f>SUM(K3:K50)</f>
        <v>884.5</v>
      </c>
      <c r="L51" s="13">
        <f t="shared" ref="L51:P51" si="3">SUM(L3:L50)</f>
        <v>155</v>
      </c>
      <c r="M51" s="13">
        <f t="shared" si="3"/>
        <v>1039.5</v>
      </c>
      <c r="N51" s="16">
        <f t="shared" si="3"/>
        <v>132</v>
      </c>
      <c r="O51" s="12">
        <f t="shared" si="3"/>
        <v>43.5</v>
      </c>
      <c r="P51" s="13">
        <f t="shared" si="3"/>
        <v>0</v>
      </c>
      <c r="Q51" s="13">
        <f t="shared" ref="Q51:V51" si="4">SUM(Q3:Q50)</f>
        <v>0</v>
      </c>
      <c r="R51" s="17">
        <f t="shared" si="4"/>
        <v>0</v>
      </c>
      <c r="S51" s="18">
        <f t="shared" si="4"/>
        <v>0</v>
      </c>
      <c r="T51" s="18">
        <f t="shared" si="4"/>
        <v>0</v>
      </c>
      <c r="U51" s="18">
        <f t="shared" si="4"/>
        <v>0</v>
      </c>
      <c r="V51" s="18">
        <f t="shared" si="4"/>
        <v>0</v>
      </c>
      <c r="W51" s="18">
        <f t="shared" ref="W51" si="5">SUM(W3:W50)</f>
        <v>0</v>
      </c>
      <c r="X51" s="18">
        <f t="shared" ref="X51:AJ51" si="6">SUM(X3:X50)</f>
        <v>0</v>
      </c>
      <c r="Y51" s="18">
        <f t="shared" si="6"/>
        <v>0</v>
      </c>
      <c r="Z51" s="18">
        <f t="shared" si="6"/>
        <v>0</v>
      </c>
      <c r="AA51" s="18">
        <f t="shared" si="6"/>
        <v>0</v>
      </c>
      <c r="AB51" s="18">
        <f t="shared" si="6"/>
        <v>0</v>
      </c>
      <c r="AC51" s="18">
        <f t="shared" si="6"/>
        <v>0</v>
      </c>
      <c r="AD51" s="18">
        <f t="shared" si="6"/>
        <v>0</v>
      </c>
      <c r="AE51" s="18">
        <f t="shared" si="6"/>
        <v>0</v>
      </c>
      <c r="AF51" s="18">
        <f t="shared" si="6"/>
        <v>0</v>
      </c>
      <c r="AG51" s="18">
        <f t="shared" si="6"/>
        <v>0</v>
      </c>
      <c r="AH51" s="18">
        <f t="shared" si="6"/>
        <v>0</v>
      </c>
      <c r="AI51" s="18">
        <f t="shared" si="6"/>
        <v>0</v>
      </c>
      <c r="AJ51" s="19">
        <f t="shared" si="6"/>
        <v>0</v>
      </c>
    </row>
  </sheetData>
  <autoFilter ref="A2:V51" xr:uid="{00000000-0009-0000-0000-000001000000}"/>
  <sortState xmlns:xlrd2="http://schemas.microsoft.com/office/spreadsheetml/2017/richdata2" ref="A3:Y50">
    <sortCondition descending="1" ref="I3:I50"/>
  </sortState>
  <mergeCells count="3">
    <mergeCell ref="A1:N1"/>
    <mergeCell ref="O1:AJ1"/>
    <mergeCell ref="A51:B51"/>
  </mergeCells>
  <phoneticPr fontId="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C21" sqref="C21"/>
    </sheetView>
  </sheetViews>
  <sheetFormatPr defaultColWidth="9.26953125" defaultRowHeight="15.6"/>
  <cols>
    <col min="5" max="5" width="24.26953125" customWidth="1"/>
    <col min="6" max="6" width="18.54296875" customWidth="1"/>
    <col min="7" max="7" width="12.81640625" customWidth="1"/>
  </cols>
  <sheetData>
    <row r="1" spans="1:7" ht="20.399999999999999">
      <c r="A1" s="34" t="s">
        <v>42</v>
      </c>
      <c r="B1" s="34"/>
      <c r="C1" s="34"/>
      <c r="D1" s="34"/>
      <c r="E1" s="34"/>
      <c r="F1" s="34"/>
      <c r="G1" s="34"/>
    </row>
    <row r="2" spans="1:7" ht="17.399999999999999">
      <c r="A2" s="1" t="s">
        <v>43</v>
      </c>
      <c r="B2" s="1" t="s">
        <v>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</row>
    <row r="3" spans="1:7" ht="17.399999999999999">
      <c r="A3" s="1">
        <v>1</v>
      </c>
      <c r="B3" s="1" t="s">
        <v>49</v>
      </c>
      <c r="C3" s="1" t="s">
        <v>50</v>
      </c>
      <c r="D3" s="1"/>
      <c r="E3" s="1"/>
      <c r="F3" s="1" t="s">
        <v>50</v>
      </c>
      <c r="G3" s="1" t="s">
        <v>51</v>
      </c>
    </row>
    <row r="4" spans="1:7" ht="17.399999999999999">
      <c r="A4" s="1"/>
      <c r="B4" s="1"/>
      <c r="C4" s="1"/>
      <c r="D4" s="1"/>
      <c r="E4" s="1"/>
      <c r="F4" s="1"/>
      <c r="G4" s="1"/>
    </row>
    <row r="5" spans="1:7" ht="17.399999999999999">
      <c r="A5" s="1"/>
      <c r="B5" s="1"/>
      <c r="C5" s="1"/>
      <c r="D5" s="1"/>
      <c r="E5" s="1"/>
      <c r="F5" s="1"/>
      <c r="G5" s="1"/>
    </row>
    <row r="6" spans="1:7" ht="17.399999999999999">
      <c r="A6" s="1"/>
      <c r="B6" s="1"/>
      <c r="C6" s="1"/>
      <c r="D6" s="1"/>
      <c r="E6" s="1"/>
      <c r="F6" s="1"/>
      <c r="G6" s="1"/>
    </row>
    <row r="7" spans="1:7" ht="17.399999999999999">
      <c r="A7" s="1"/>
      <c r="B7" s="1"/>
      <c r="C7" s="1"/>
      <c r="D7" s="1"/>
      <c r="E7" s="1"/>
      <c r="F7" s="1"/>
      <c r="G7" s="1"/>
    </row>
    <row r="8" spans="1:7" ht="17.399999999999999">
      <c r="A8" s="1"/>
      <c r="B8" s="1"/>
      <c r="C8" s="1"/>
      <c r="D8" s="1"/>
      <c r="E8" s="1"/>
      <c r="F8" s="1"/>
      <c r="G8" s="1"/>
    </row>
    <row r="9" spans="1:7" ht="17.399999999999999">
      <c r="A9" s="1"/>
      <c r="B9" s="1"/>
      <c r="C9" s="1"/>
      <c r="D9" s="1"/>
      <c r="E9" s="1"/>
      <c r="F9" s="1"/>
      <c r="G9" s="1"/>
    </row>
    <row r="10" spans="1:7" ht="17.399999999999999">
      <c r="A10" s="1"/>
      <c r="B10" s="1"/>
      <c r="C10" s="1"/>
      <c r="D10" s="1"/>
      <c r="E10" s="1"/>
      <c r="F10" s="1"/>
      <c r="G10" s="1"/>
    </row>
    <row r="11" spans="1:7" ht="17.399999999999999">
      <c r="A11" s="1"/>
      <c r="B11" s="1"/>
      <c r="C11" s="1"/>
      <c r="D11" s="1"/>
      <c r="E11" s="1"/>
      <c r="F11" s="1"/>
      <c r="G11" s="1"/>
    </row>
    <row r="12" spans="1:7" ht="17.399999999999999">
      <c r="A12" s="1"/>
      <c r="B12" s="1"/>
      <c r="C12" s="1"/>
      <c r="D12" s="1"/>
      <c r="E12" s="1"/>
      <c r="F12" s="1"/>
      <c r="G12" s="1"/>
    </row>
    <row r="13" spans="1:7" ht="17.399999999999999">
      <c r="A13" s="1"/>
      <c r="B13" s="1"/>
      <c r="C13" s="1"/>
      <c r="D13" s="1"/>
      <c r="E13" s="1"/>
      <c r="F13" s="1"/>
      <c r="G13" s="1"/>
    </row>
    <row r="14" spans="1:7" ht="17.399999999999999">
      <c r="A14" s="1"/>
      <c r="B14" s="1"/>
      <c r="C14" s="1"/>
      <c r="D14" s="1"/>
      <c r="E14" s="1"/>
      <c r="F14" s="1"/>
      <c r="G14" s="1"/>
    </row>
    <row r="15" spans="1:7" ht="17.399999999999999">
      <c r="A15" s="1"/>
      <c r="B15" s="1"/>
      <c r="C15" s="1"/>
      <c r="D15" s="1"/>
      <c r="E15" s="1"/>
      <c r="F15" s="1"/>
      <c r="G15" s="1"/>
    </row>
    <row r="16" spans="1:7" ht="17.399999999999999">
      <c r="A16" s="1"/>
      <c r="B16" s="1"/>
      <c r="C16" s="1"/>
      <c r="D16" s="1"/>
      <c r="E16" s="1"/>
      <c r="F16" s="1"/>
      <c r="G16" s="1"/>
    </row>
    <row r="17" spans="1:7" ht="17.399999999999999">
      <c r="A17" s="1"/>
      <c r="B17" s="1"/>
      <c r="C17" s="1"/>
      <c r="D17" s="1"/>
      <c r="E17" s="1"/>
      <c r="F17" s="1"/>
      <c r="G17" s="1"/>
    </row>
    <row r="18" spans="1:7" ht="17.399999999999999">
      <c r="A18" s="1"/>
      <c r="B18" s="1"/>
      <c r="C18" s="1"/>
      <c r="D18" s="1"/>
      <c r="E18" s="1"/>
      <c r="F18" s="1"/>
      <c r="G18" s="1"/>
    </row>
    <row r="19" spans="1:7" ht="17.399999999999999">
      <c r="A19" s="1"/>
      <c r="B19" s="1"/>
      <c r="C19" s="1"/>
      <c r="D19" s="1"/>
      <c r="E19" s="1"/>
      <c r="F19" s="1"/>
      <c r="G19" s="1"/>
    </row>
    <row r="20" spans="1:7" ht="17.399999999999999">
      <c r="A20" s="1"/>
      <c r="B20" s="1"/>
      <c r="C20" s="1"/>
      <c r="D20" s="1"/>
      <c r="E20" s="1"/>
      <c r="F20" s="1"/>
      <c r="G20" s="1"/>
    </row>
    <row r="21" spans="1:7" ht="17.399999999999999">
      <c r="A21" s="1"/>
      <c r="B21" s="1"/>
      <c r="C21" s="1"/>
      <c r="D21" s="1"/>
      <c r="E21" s="1"/>
      <c r="F21" s="1"/>
      <c r="G21" s="1"/>
    </row>
    <row r="22" spans="1:7" ht="17.399999999999999">
      <c r="A22" s="1"/>
      <c r="B22" s="1"/>
      <c r="C22" s="1"/>
      <c r="D22" s="1"/>
      <c r="E22" s="1"/>
      <c r="F22" s="1"/>
      <c r="G22" s="1"/>
    </row>
    <row r="23" spans="1:7" ht="17.399999999999999">
      <c r="A23" s="1"/>
      <c r="B23" s="1"/>
      <c r="C23" s="1"/>
      <c r="D23" s="1"/>
      <c r="E23" s="1"/>
      <c r="F23" s="1"/>
      <c r="G23" s="1"/>
    </row>
    <row r="24" spans="1:7" ht="17.399999999999999">
      <c r="A24" s="1"/>
      <c r="B24" s="1"/>
      <c r="C24" s="1"/>
      <c r="D24" s="1"/>
      <c r="E24" s="1"/>
      <c r="F24" s="1"/>
      <c r="G24" s="1"/>
    </row>
    <row r="25" spans="1:7" ht="17.399999999999999">
      <c r="A25" s="1"/>
      <c r="B25" s="1"/>
      <c r="C25" s="1"/>
      <c r="D25" s="1"/>
      <c r="E25" s="1"/>
      <c r="F25" s="1"/>
      <c r="G25" s="1"/>
    </row>
    <row r="26" spans="1:7" ht="17.399999999999999">
      <c r="A26" s="1"/>
      <c r="B26" s="1"/>
      <c r="C26" s="1"/>
      <c r="D26" s="1"/>
      <c r="E26" s="1"/>
      <c r="F26" s="1"/>
      <c r="G26" s="1"/>
    </row>
    <row r="27" spans="1:7" ht="17.399999999999999">
      <c r="A27" s="1"/>
      <c r="B27" s="1"/>
      <c r="C27" s="1"/>
      <c r="D27" s="1"/>
      <c r="E27" s="1"/>
      <c r="F27" s="1"/>
      <c r="G27" s="1"/>
    </row>
    <row r="28" spans="1:7" ht="17.399999999999999">
      <c r="A28" s="2"/>
      <c r="B28" s="2"/>
      <c r="C28" s="2"/>
      <c r="D28" s="2"/>
      <c r="E28" s="2"/>
      <c r="F28" s="2"/>
      <c r="G28" s="2"/>
    </row>
  </sheetData>
  <mergeCells count="1">
    <mergeCell ref="A1:G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8"/>
  <sheetViews>
    <sheetView workbookViewId="0">
      <selection activeCell="B21" sqref="B21"/>
    </sheetView>
  </sheetViews>
  <sheetFormatPr defaultColWidth="9.26953125" defaultRowHeight="15.6"/>
  <cols>
    <col min="2" max="2" width="28.08984375" customWidth="1"/>
    <col min="3" max="3" width="34.453125" customWidth="1"/>
  </cols>
  <sheetData>
    <row r="2" spans="2:3" ht="17.399999999999999">
      <c r="B2" s="35" t="s">
        <v>52</v>
      </c>
      <c r="C2" s="35"/>
    </row>
    <row r="3" spans="2:3" ht="17.399999999999999">
      <c r="B3" s="1" t="s">
        <v>44</v>
      </c>
      <c r="C3" s="1" t="s">
        <v>53</v>
      </c>
    </row>
    <row r="4" spans="2:3" ht="17.399999999999999">
      <c r="B4" s="1" t="s">
        <v>54</v>
      </c>
      <c r="C4" s="1" t="s">
        <v>55</v>
      </c>
    </row>
    <row r="5" spans="2:3" ht="17.399999999999999">
      <c r="B5" s="1" t="s">
        <v>56</v>
      </c>
      <c r="C5" s="1" t="s">
        <v>57</v>
      </c>
    </row>
    <row r="6" spans="2:3" ht="17.399999999999999">
      <c r="B6" s="1" t="s">
        <v>58</v>
      </c>
      <c r="C6" s="1" t="s">
        <v>59</v>
      </c>
    </row>
    <row r="7" spans="2:3" ht="17.399999999999999">
      <c r="B7" s="1" t="s">
        <v>60</v>
      </c>
      <c r="C7" s="1" t="s">
        <v>38</v>
      </c>
    </row>
    <row r="8" spans="2:3" ht="17.399999999999999">
      <c r="B8" s="1" t="s">
        <v>61</v>
      </c>
      <c r="C8" s="1" t="s">
        <v>62</v>
      </c>
    </row>
  </sheetData>
  <mergeCells count="1">
    <mergeCell ref="B2:C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学科组</vt:lpstr>
      <vt:lpstr>汇总</vt:lpstr>
      <vt:lpstr>失课控制</vt:lpstr>
      <vt:lpstr>排期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莹楠 和</cp:lastModifiedBy>
  <dcterms:created xsi:type="dcterms:W3CDTF">2018-07-08T10:06:00Z</dcterms:created>
  <dcterms:modified xsi:type="dcterms:W3CDTF">2026-02-05T10:50:47Z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5A26B66162E540CCB7D4CB3C82AB1A6C_13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