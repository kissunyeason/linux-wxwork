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500" activeTab="2"/>
  </bookViews>
  <sheets>
    <sheet name="学科组" sheetId="66" r:id="rId1"/>
    <sheet name="汇总" sheetId="67" r:id="rId2"/>
    <sheet name="失课控制" sheetId="68" r:id="rId3"/>
    <sheet name="排期" sheetId="69" r:id="rId4"/>
  </sheets>
  <definedNames>
    <definedName name="_xlnm._FilterDatabase" localSheetId="1" hidden="1">汇总!$A$2:$V$51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<sst xmlns="http://schemas.openxmlformats.org/spreadsheetml/2006/main" count="158" uniqueCount="93">
  <si>
    <t>2026性化事业部初中2月9日课时日报表</t>
  </si>
  <si>
    <t>2月5日至3月4日个性化初中教师每日实际课时统计</t>
  </si>
  <si>
    <t>学段</t>
  </si>
  <si>
    <t>教师姓名</t>
  </si>
  <si>
    <t>在册学员</t>
  </si>
  <si>
    <t>在读学员</t>
  </si>
  <si>
    <t>行课率</t>
  </si>
  <si>
    <t>当日预排</t>
  </si>
  <si>
    <t>当日实际</t>
  </si>
  <si>
    <t>明日预排</t>
  </si>
  <si>
    <t xml:space="preserve">累计课时
2.5开始 </t>
  </si>
  <si>
    <t>累计课时排名</t>
  </si>
  <si>
    <t>2月预排总课时
2.5-2.28</t>
  </si>
  <si>
    <t>3月预排总课时
3.1-3.4</t>
  </si>
  <si>
    <t>寒假预排总课时
2.5-3.4</t>
  </si>
  <si>
    <t>2.1-2.4
累计课时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</si>
  <si>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</si>
  <si>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</si>
  <si>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</si>
  <si>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</si>
  <si>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</si>
  <si>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</si>
  <si>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</si>
  <si>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</si>
  <si>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</si>
  <si>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</si>
  <si>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</si>
  <si>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0222</t>
  </si>
  <si>
    <t>0223</t>
  </si>
  <si>
    <t>0224</t>
  </si>
  <si>
    <t>0225</t>
  </si>
  <si>
    <t>0226</t>
  </si>
  <si>
    <t>0227</t>
  </si>
  <si>
    <t>0228</t>
  </si>
  <si>
    <t>0301</t>
  </si>
  <si>
    <t>0302</t>
  </si>
  <si>
    <t>0303</t>
  </si>
  <si>
    <t>0304</t>
  </si>
  <si>
    <t>初数北区</t>
  </si>
  <si>
    <t>吴笑凡</t>
  </si>
  <si>
    <t>曲婧</t>
  </si>
  <si>
    <t>田立鹏</t>
  </si>
  <si>
    <t>李雅婷</t>
  </si>
  <si>
    <t>刘瑞娥</t>
  </si>
  <si>
    <t>牛媛媛</t>
  </si>
  <si>
    <t>陈瑶</t>
  </si>
  <si>
    <t>李素青</t>
  </si>
  <si>
    <t>耿旭东</t>
  </si>
  <si>
    <t>胡晓壮</t>
  </si>
  <si>
    <t>罗腾</t>
  </si>
  <si>
    <t>梁卿</t>
  </si>
  <si>
    <t>合计</t>
  </si>
  <si>
    <t>——</t>
  </si>
  <si>
    <t>\</t>
  </si>
  <si>
    <t>2026性化事业部初中2月5日课时日报表</t>
  </si>
  <si>
    <t>中学语文</t>
  </si>
  <si>
    <t>王珏</t>
  </si>
  <si>
    <t>田园</t>
  </si>
  <si>
    <t>郭正婕</t>
  </si>
  <si>
    <t>孙晓芳</t>
  </si>
  <si>
    <t>宋小玲</t>
  </si>
  <si>
    <t>詹星</t>
  </si>
  <si>
    <t>李佳佳</t>
  </si>
  <si>
    <t>2026年寒假集训期间失课统计控制</t>
  </si>
  <si>
    <t>序号</t>
  </si>
  <si>
    <t>日期</t>
  </si>
  <si>
    <t>学生</t>
  </si>
  <si>
    <t>失课原因</t>
  </si>
  <si>
    <t>预计补回时间</t>
  </si>
  <si>
    <t>实际补回情况</t>
  </si>
  <si>
    <t>段雅琪</t>
  </si>
  <si>
    <t>弄牙套，和原来预排时间冲突</t>
  </si>
  <si>
    <t>是</t>
  </si>
  <si>
    <t>杨雅雯</t>
  </si>
  <si>
    <t>生病</t>
  </si>
  <si>
    <t>课程顺延往后</t>
  </si>
  <si>
    <t>否</t>
  </si>
  <si>
    <t>韩佳彤</t>
  </si>
  <si>
    <t>学校放学晚，赶不回来</t>
  </si>
  <si>
    <t>闫婉岑</t>
  </si>
  <si>
    <t>生病请假</t>
  </si>
  <si>
    <t>从2月5日开始至3月4日每日教师大群课时统计</t>
  </si>
  <si>
    <t>统计负责人</t>
  </si>
  <si>
    <t>2月5日-2月8日</t>
  </si>
  <si>
    <t>李少阳</t>
  </si>
  <si>
    <t>2月9日-2月12日</t>
  </si>
  <si>
    <t>和莹楠</t>
  </si>
  <si>
    <t>2月13日-2月15日、2月22日</t>
  </si>
  <si>
    <t>李霄强</t>
  </si>
  <si>
    <t>2月23日-2月27日</t>
  </si>
  <si>
    <t>尹通</t>
  </si>
  <si>
    <t>2月28日-3月5日</t>
  </si>
  <si>
    <t>杜先锋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</si>
</sst>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000000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3" applyNumberFormat="0" applyAlignment="0" applyProtection="0">
      <alignment vertical="center"/>
    </xf>
    <xf numFmtId="0" fontId="17" fillId="7" borderId="24" applyNumberFormat="0" applyAlignment="0" applyProtection="0">
      <alignment vertical="center"/>
    </xf>
    <xf numFmtId="0" fontId="18" fillId="7" borderId="23" applyNumberFormat="0" applyAlignment="0" applyProtection="0">
      <alignment vertical="center"/>
    </xf>
    <xf numFmtId="0" fontId="19" fillId="8" borderId="25" applyNumberFormat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9" fontId="5" fillId="2" borderId="1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  <xf numFmtId="0" fontId="5" fillId="0" borderId="5" xfId="0" applyFont="1" applyBorder="1" applyAlignment="1" quotePrefix="1">
      <alignment horizontal="center" vertical="center"/>
    </xf>
    <xf numFmtId="0" fontId="5" fillId="0" borderId="6" xfId="0" applyFont="1" applyBorder="1" applyAlignment="1" quotePrefix="1">
      <alignment horizontal="center" vertical="center"/>
    </xf>
    <xf numFmtId="0" fontId="5" fillId="0" borderId="7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F8AD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0"/>
  <sheetViews>
    <sheetView zoomScale="97" zoomScaleNormal="97" workbookViewId="0">
      <selection activeCell="K20" sqref="K20"/>
    </sheetView>
  </sheetViews>
  <sheetFormatPr defaultColWidth="8.2421875" defaultRowHeight="15"/>
  <cols>
    <col min="1" max="1" width="8.2734375" customWidth="1"/>
    <col min="2" max="4" width="9.6328125" customWidth="1"/>
    <col min="5" max="5" width="8.6328125" customWidth="1"/>
    <col min="6" max="8" width="8.7265625" customWidth="1"/>
    <col min="9" max="9" width="9.8203125" customWidth="1"/>
    <col min="10" max="10" width="12.1796875" customWidth="1"/>
    <col min="11" max="12" width="15.546875" customWidth="1"/>
    <col min="13" max="13" width="15.3671875" customWidth="1"/>
    <col min="14" max="14" width="9.6328125" customWidth="1"/>
    <col min="15" max="36" width="6.1796875" customWidth="1"/>
  </cols>
  <sheetData>
    <row r="1" ht="16.85" spans="1:3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 t="s">
        <v>1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ht="33.75" spans="1:36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9" t="s">
        <v>10</v>
      </c>
      <c r="J2" s="8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32" t="s">
        <v>16</v>
      </c>
      <c r="P2" s="32" t="s">
        <v>17</v>
      </c>
      <c r="Q2" s="32" t="s">
        <v>18</v>
      </c>
      <c r="R2" s="32" t="s">
        <v>19</v>
      </c>
      <c r="S2" s="32" t="s">
        <v>20</v>
      </c>
      <c r="T2" s="32" t="s">
        <v>21</v>
      </c>
      <c r="U2" s="32" t="s">
        <v>22</v>
      </c>
      <c r="V2" s="32" t="s">
        <v>23</v>
      </c>
      <c r="W2" s="32" t="s">
        <v>24</v>
      </c>
      <c r="X2" s="32" t="s">
        <v>25</v>
      </c>
      <c r="Y2" s="32" t="s">
        <v>26</v>
      </c>
      <c r="Z2" s="32" t="s">
        <v>27</v>
      </c>
      <c r="AA2" s="32" t="s">
        <v>28</v>
      </c>
      <c r="AB2" s="32" t="s">
        <v>29</v>
      </c>
      <c r="AC2" s="32" t="s">
        <v>30</v>
      </c>
      <c r="AD2" s="32" t="s">
        <v>31</v>
      </c>
      <c r="AE2" s="32" t="s">
        <v>32</v>
      </c>
      <c r="AF2" s="32" t="s">
        <v>33</v>
      </c>
      <c r="AG2" s="32" t="s">
        <v>34</v>
      </c>
      <c r="AH2" s="32" t="s">
        <v>35</v>
      </c>
      <c r="AI2" s="32" t="s">
        <v>36</v>
      </c>
      <c r="AJ2" s="32" t="s">
        <v>37</v>
      </c>
    </row>
    <row r="3" spans="1:36">
      <c r="A3" s="13" t="s">
        <v>38</v>
      </c>
      <c r="B3" s="13" t="s">
        <v>39</v>
      </c>
      <c r="C3" s="13">
        <v>8</v>
      </c>
      <c r="D3" s="13">
        <v>7</v>
      </c>
      <c r="E3" s="14">
        <f>D3/C3</f>
        <v>0.875</v>
      </c>
      <c r="F3" s="13">
        <v>8</v>
      </c>
      <c r="G3" s="13">
        <v>8</v>
      </c>
      <c r="H3" s="13">
        <v>8</v>
      </c>
      <c r="I3" s="13">
        <f>SUM(O3:V3)</f>
        <v>42</v>
      </c>
      <c r="J3" s="13">
        <f>RANK(I3,$I$3:$I$14)</f>
        <v>3</v>
      </c>
      <c r="K3" s="13">
        <v>144</v>
      </c>
      <c r="L3" s="13">
        <v>12</v>
      </c>
      <c r="M3" s="13">
        <v>156</v>
      </c>
      <c r="N3" s="13">
        <v>15</v>
      </c>
      <c r="O3" s="13">
        <v>8</v>
      </c>
      <c r="P3" s="13">
        <v>10</v>
      </c>
      <c r="Q3" s="13">
        <v>8</v>
      </c>
      <c r="R3" s="13">
        <v>8</v>
      </c>
      <c r="S3" s="13">
        <v>8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>
      <c r="A4" s="13" t="s">
        <v>38</v>
      </c>
      <c r="B4" s="13" t="s">
        <v>40</v>
      </c>
      <c r="C4" s="13">
        <v>7</v>
      </c>
      <c r="D4" s="13">
        <v>6</v>
      </c>
      <c r="E4" s="14">
        <f>D4/C4</f>
        <v>0.857142857142857</v>
      </c>
      <c r="F4" s="13">
        <v>0</v>
      </c>
      <c r="G4" s="13">
        <v>0</v>
      </c>
      <c r="H4" s="13">
        <v>0</v>
      </c>
      <c r="I4" s="13">
        <f t="shared" ref="I4:I14" si="0">SUM(O4:V4)</f>
        <v>0</v>
      </c>
      <c r="J4" s="13">
        <f t="shared" ref="J4:J14" si="1">RANK(I4,$I$3:$I$14)</f>
        <v>12</v>
      </c>
      <c r="K4" s="13">
        <v>122</v>
      </c>
      <c r="L4" s="13">
        <v>16</v>
      </c>
      <c r="M4" s="13">
        <v>138</v>
      </c>
      <c r="N4" s="13">
        <v>5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spans="1:36">
      <c r="A5" s="13" t="s">
        <v>38</v>
      </c>
      <c r="B5" s="13" t="s">
        <v>41</v>
      </c>
      <c r="C5" s="13">
        <v>8</v>
      </c>
      <c r="D5" s="13">
        <v>6</v>
      </c>
      <c r="E5" s="14">
        <f>D5/C5</f>
        <v>0.75</v>
      </c>
      <c r="F5" s="13">
        <v>10</v>
      </c>
      <c r="G5" s="13">
        <v>10</v>
      </c>
      <c r="H5" s="13">
        <v>10</v>
      </c>
      <c r="I5" s="13">
        <f t="shared" si="0"/>
        <v>48</v>
      </c>
      <c r="J5" s="13">
        <f t="shared" si="1"/>
        <v>1</v>
      </c>
      <c r="K5" s="13">
        <v>108</v>
      </c>
      <c r="L5" s="13">
        <v>6</v>
      </c>
      <c r="M5" s="13">
        <v>114</v>
      </c>
      <c r="N5" s="13">
        <v>0</v>
      </c>
      <c r="O5" s="13">
        <v>8</v>
      </c>
      <c r="P5" s="13">
        <v>10</v>
      </c>
      <c r="Q5" s="13">
        <v>10</v>
      </c>
      <c r="R5" s="13">
        <v>10</v>
      </c>
      <c r="S5" s="13">
        <v>10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spans="1:36">
      <c r="A6" s="13" t="s">
        <v>38</v>
      </c>
      <c r="B6" s="13" t="s">
        <v>42</v>
      </c>
      <c r="C6" s="13">
        <v>7</v>
      </c>
      <c r="D6" s="13">
        <v>6</v>
      </c>
      <c r="E6" s="14">
        <f t="shared" ref="E6:E15" si="2">D6/C6</f>
        <v>0.857142857142857</v>
      </c>
      <c r="F6" s="13">
        <v>8</v>
      </c>
      <c r="G6" s="13">
        <v>8</v>
      </c>
      <c r="H6" s="13">
        <v>8</v>
      </c>
      <c r="I6" s="13">
        <f t="shared" si="0"/>
        <v>42</v>
      </c>
      <c r="J6" s="13">
        <f t="shared" si="1"/>
        <v>3</v>
      </c>
      <c r="K6" s="13">
        <v>106</v>
      </c>
      <c r="L6" s="13">
        <v>24</v>
      </c>
      <c r="M6" s="13">
        <v>130</v>
      </c>
      <c r="N6" s="13">
        <v>0</v>
      </c>
      <c r="O6" s="13">
        <v>8</v>
      </c>
      <c r="P6" s="13">
        <v>8</v>
      </c>
      <c r="Q6" s="13">
        <v>8</v>
      </c>
      <c r="R6" s="13">
        <v>10</v>
      </c>
      <c r="S6" s="13">
        <v>8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36">
      <c r="A7" s="13" t="s">
        <v>38</v>
      </c>
      <c r="B7" s="13" t="s">
        <v>43</v>
      </c>
      <c r="C7" s="13">
        <v>8</v>
      </c>
      <c r="D7" s="13">
        <v>7</v>
      </c>
      <c r="E7" s="14">
        <f t="shared" si="2"/>
        <v>0.875</v>
      </c>
      <c r="F7" s="13">
        <v>8</v>
      </c>
      <c r="G7" s="13">
        <v>8</v>
      </c>
      <c r="H7" s="13">
        <v>6</v>
      </c>
      <c r="I7" s="13">
        <f t="shared" si="0"/>
        <v>40</v>
      </c>
      <c r="J7" s="13">
        <f t="shared" si="1"/>
        <v>6</v>
      </c>
      <c r="K7" s="13">
        <v>130</v>
      </c>
      <c r="L7" s="13">
        <v>14</v>
      </c>
      <c r="M7" s="13">
        <v>144</v>
      </c>
      <c r="N7" s="13">
        <v>0</v>
      </c>
      <c r="O7" s="13">
        <v>8</v>
      </c>
      <c r="P7" s="13">
        <v>8</v>
      </c>
      <c r="Q7" s="13">
        <v>8</v>
      </c>
      <c r="R7" s="13">
        <v>8</v>
      </c>
      <c r="S7" s="13">
        <v>8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spans="1:36">
      <c r="A8" s="13" t="s">
        <v>38</v>
      </c>
      <c r="B8" s="13" t="s">
        <v>44</v>
      </c>
      <c r="C8" s="13">
        <v>8</v>
      </c>
      <c r="D8" s="13">
        <v>7</v>
      </c>
      <c r="E8" s="14">
        <f t="shared" si="2"/>
        <v>0.875</v>
      </c>
      <c r="F8" s="13">
        <v>10</v>
      </c>
      <c r="G8" s="13">
        <v>11.5</v>
      </c>
      <c r="H8" s="13">
        <v>10</v>
      </c>
      <c r="I8" s="13">
        <f t="shared" si="0"/>
        <v>41.5</v>
      </c>
      <c r="J8" s="13">
        <f t="shared" si="1"/>
        <v>5</v>
      </c>
      <c r="K8" s="13">
        <v>118</v>
      </c>
      <c r="L8" s="13">
        <v>12</v>
      </c>
      <c r="M8" s="13">
        <v>130</v>
      </c>
      <c r="N8" s="13">
        <v>14</v>
      </c>
      <c r="O8" s="13">
        <v>6</v>
      </c>
      <c r="P8" s="13">
        <v>8</v>
      </c>
      <c r="Q8" s="13">
        <v>8</v>
      </c>
      <c r="R8" s="13">
        <v>8</v>
      </c>
      <c r="S8" s="13">
        <v>11.5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36">
      <c r="A9" s="13" t="s">
        <v>38</v>
      </c>
      <c r="B9" s="13" t="s">
        <v>45</v>
      </c>
      <c r="C9" s="13">
        <v>8</v>
      </c>
      <c r="D9" s="13">
        <v>7</v>
      </c>
      <c r="E9" s="14">
        <f t="shared" si="2"/>
        <v>0.875</v>
      </c>
      <c r="F9" s="13">
        <v>8</v>
      </c>
      <c r="G9" s="13">
        <v>10</v>
      </c>
      <c r="H9" s="13">
        <v>8</v>
      </c>
      <c r="I9" s="13">
        <f t="shared" si="0"/>
        <v>38</v>
      </c>
      <c r="J9" s="13">
        <f t="shared" si="1"/>
        <v>8</v>
      </c>
      <c r="K9" s="13">
        <v>103</v>
      </c>
      <c r="L9" s="13">
        <v>10</v>
      </c>
      <c r="M9" s="13">
        <v>113</v>
      </c>
      <c r="N9" s="13">
        <v>2</v>
      </c>
      <c r="O9" s="13">
        <v>4</v>
      </c>
      <c r="P9" s="13">
        <v>4</v>
      </c>
      <c r="Q9" s="13">
        <v>10</v>
      </c>
      <c r="R9" s="13">
        <v>10</v>
      </c>
      <c r="S9" s="13">
        <v>10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6">
      <c r="A10" s="13" t="s">
        <v>38</v>
      </c>
      <c r="B10" s="13" t="s">
        <v>46</v>
      </c>
      <c r="C10" s="13">
        <v>10</v>
      </c>
      <c r="D10" s="13">
        <v>9</v>
      </c>
      <c r="E10" s="14">
        <f t="shared" si="2"/>
        <v>0.9</v>
      </c>
      <c r="F10" s="13">
        <v>10</v>
      </c>
      <c r="G10" s="13">
        <v>10</v>
      </c>
      <c r="H10" s="13">
        <v>10</v>
      </c>
      <c r="I10" s="13">
        <f t="shared" si="0"/>
        <v>44</v>
      </c>
      <c r="J10" s="13">
        <f t="shared" si="1"/>
        <v>2</v>
      </c>
      <c r="K10" s="13">
        <v>140</v>
      </c>
      <c r="L10" s="13">
        <v>14</v>
      </c>
      <c r="M10" s="13">
        <v>154</v>
      </c>
      <c r="N10" s="13">
        <v>4</v>
      </c>
      <c r="O10" s="13">
        <v>8</v>
      </c>
      <c r="P10" s="13">
        <v>6</v>
      </c>
      <c r="Q10" s="13">
        <v>10</v>
      </c>
      <c r="R10" s="13">
        <v>10</v>
      </c>
      <c r="S10" s="13">
        <v>10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36">
      <c r="A11" s="13" t="s">
        <v>38</v>
      </c>
      <c r="B11" s="13" t="s">
        <v>47</v>
      </c>
      <c r="C11" s="13">
        <v>3</v>
      </c>
      <c r="D11" s="13">
        <v>3</v>
      </c>
      <c r="E11" s="14">
        <f t="shared" si="2"/>
        <v>1</v>
      </c>
      <c r="F11" s="13">
        <v>8</v>
      </c>
      <c r="G11" s="13">
        <v>8</v>
      </c>
      <c r="H11" s="13">
        <v>9</v>
      </c>
      <c r="I11" s="13">
        <f t="shared" si="0"/>
        <v>32</v>
      </c>
      <c r="J11" s="13">
        <f t="shared" si="1"/>
        <v>10</v>
      </c>
      <c r="K11" s="13">
        <v>122</v>
      </c>
      <c r="L11" s="13">
        <v>16</v>
      </c>
      <c r="M11" s="13">
        <v>138</v>
      </c>
      <c r="N11" s="13">
        <v>2</v>
      </c>
      <c r="O11" s="13">
        <v>2</v>
      </c>
      <c r="P11" s="13">
        <v>6</v>
      </c>
      <c r="Q11" s="13">
        <v>8</v>
      </c>
      <c r="R11" s="13">
        <v>8</v>
      </c>
      <c r="S11" s="13">
        <v>8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spans="1:36">
      <c r="A12" s="13" t="s">
        <v>38</v>
      </c>
      <c r="B12" s="13" t="s">
        <v>48</v>
      </c>
      <c r="C12" s="13">
        <v>11</v>
      </c>
      <c r="D12" s="13">
        <v>8</v>
      </c>
      <c r="E12" s="14">
        <f t="shared" si="2"/>
        <v>0.727272727272727</v>
      </c>
      <c r="F12" s="13">
        <v>8</v>
      </c>
      <c r="G12" s="13">
        <v>8</v>
      </c>
      <c r="H12" s="13">
        <v>8</v>
      </c>
      <c r="I12" s="13">
        <f t="shared" si="0"/>
        <v>40</v>
      </c>
      <c r="J12" s="13">
        <f t="shared" si="1"/>
        <v>6</v>
      </c>
      <c r="K12" s="13">
        <v>142</v>
      </c>
      <c r="L12" s="13">
        <v>20</v>
      </c>
      <c r="M12" s="13">
        <v>162</v>
      </c>
      <c r="N12" s="13">
        <v>24</v>
      </c>
      <c r="O12" s="13">
        <v>8</v>
      </c>
      <c r="P12" s="13">
        <v>8</v>
      </c>
      <c r="Q12" s="13">
        <v>8</v>
      </c>
      <c r="R12" s="13">
        <v>8</v>
      </c>
      <c r="S12" s="13">
        <v>8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>
      <c r="A13" s="13" t="s">
        <v>38</v>
      </c>
      <c r="B13" s="13" t="s">
        <v>49</v>
      </c>
      <c r="C13" s="13">
        <v>9</v>
      </c>
      <c r="D13" s="13">
        <v>9</v>
      </c>
      <c r="E13" s="14">
        <f t="shared" si="2"/>
        <v>1</v>
      </c>
      <c r="F13" s="13">
        <v>8</v>
      </c>
      <c r="G13" s="13">
        <v>10</v>
      </c>
      <c r="H13" s="13">
        <v>6</v>
      </c>
      <c r="I13" s="13">
        <f t="shared" si="0"/>
        <v>38</v>
      </c>
      <c r="J13" s="13">
        <f t="shared" si="1"/>
        <v>8</v>
      </c>
      <c r="K13" s="13">
        <v>130</v>
      </c>
      <c r="L13" s="13">
        <v>14</v>
      </c>
      <c r="M13" s="13">
        <v>134</v>
      </c>
      <c r="N13" s="13">
        <v>6</v>
      </c>
      <c r="O13" s="13">
        <v>6</v>
      </c>
      <c r="P13" s="13">
        <v>8</v>
      </c>
      <c r="Q13" s="13">
        <v>8</v>
      </c>
      <c r="R13" s="13">
        <v>6</v>
      </c>
      <c r="S13" s="13">
        <v>10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36">
      <c r="A14" s="13" t="s">
        <v>38</v>
      </c>
      <c r="B14" s="13" t="s">
        <v>50</v>
      </c>
      <c r="C14" s="13">
        <v>7</v>
      </c>
      <c r="D14" s="13">
        <v>6</v>
      </c>
      <c r="E14" s="14">
        <f t="shared" si="2"/>
        <v>0.857142857142857</v>
      </c>
      <c r="F14" s="13">
        <v>8</v>
      </c>
      <c r="G14" s="13">
        <v>8</v>
      </c>
      <c r="H14" s="13">
        <v>10</v>
      </c>
      <c r="I14" s="13">
        <f t="shared" si="0"/>
        <v>32</v>
      </c>
      <c r="J14" s="13">
        <f t="shared" si="1"/>
        <v>10</v>
      </c>
      <c r="K14" s="13">
        <v>124</v>
      </c>
      <c r="L14" s="13">
        <v>16</v>
      </c>
      <c r="M14" s="13">
        <v>140</v>
      </c>
      <c r="N14" s="13">
        <v>4</v>
      </c>
      <c r="O14" s="13">
        <v>4</v>
      </c>
      <c r="P14" s="13">
        <v>8</v>
      </c>
      <c r="Q14" s="13">
        <v>6</v>
      </c>
      <c r="R14" s="13">
        <v>6</v>
      </c>
      <c r="S14" s="13">
        <v>8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36">
      <c r="A15" s="26" t="s">
        <v>51</v>
      </c>
      <c r="B15" s="27"/>
      <c r="C15" s="28">
        <f t="shared" ref="C15:I15" si="3">SUM(C3:C14)</f>
        <v>94</v>
      </c>
      <c r="D15" s="28">
        <f t="shared" si="3"/>
        <v>81</v>
      </c>
      <c r="E15" s="29">
        <f t="shared" si="2"/>
        <v>0.861702127659574</v>
      </c>
      <c r="F15" s="28">
        <f t="shared" si="3"/>
        <v>94</v>
      </c>
      <c r="G15" s="28">
        <f t="shared" si="3"/>
        <v>99.5</v>
      </c>
      <c r="H15" s="28">
        <f t="shared" si="3"/>
        <v>93</v>
      </c>
      <c r="I15" s="28">
        <f t="shared" si="3"/>
        <v>437.5</v>
      </c>
      <c r="J15" s="30" t="s">
        <v>52</v>
      </c>
      <c r="K15" s="30">
        <f t="shared" ref="K15:AJ15" si="4">SUM(K3:K14)</f>
        <v>1489</v>
      </c>
      <c r="L15" s="30">
        <f t="shared" si="4"/>
        <v>174</v>
      </c>
      <c r="M15" s="30">
        <f t="shared" si="4"/>
        <v>1653</v>
      </c>
      <c r="N15" s="30">
        <f t="shared" si="4"/>
        <v>76</v>
      </c>
      <c r="O15" s="30">
        <f t="shared" si="4"/>
        <v>70</v>
      </c>
      <c r="P15" s="30">
        <f t="shared" si="4"/>
        <v>84</v>
      </c>
      <c r="Q15" s="30">
        <f t="shared" si="4"/>
        <v>92</v>
      </c>
      <c r="R15" s="30">
        <f t="shared" si="4"/>
        <v>92</v>
      </c>
      <c r="S15" s="30">
        <f t="shared" si="4"/>
        <v>99.5</v>
      </c>
      <c r="T15" s="30">
        <f t="shared" si="4"/>
        <v>0</v>
      </c>
      <c r="U15" s="30">
        <f t="shared" si="4"/>
        <v>0</v>
      </c>
      <c r="V15" s="30">
        <f t="shared" si="4"/>
        <v>0</v>
      </c>
      <c r="W15" s="30">
        <f t="shared" si="4"/>
        <v>0</v>
      </c>
      <c r="X15" s="30">
        <f t="shared" si="4"/>
        <v>0</v>
      </c>
      <c r="Y15" s="30">
        <f t="shared" si="4"/>
        <v>0</v>
      </c>
      <c r="Z15" s="30">
        <f t="shared" si="4"/>
        <v>0</v>
      </c>
      <c r="AA15" s="30">
        <f t="shared" si="4"/>
        <v>0</v>
      </c>
      <c r="AB15" s="30">
        <f t="shared" si="4"/>
        <v>0</v>
      </c>
      <c r="AC15" s="31">
        <f t="shared" si="4"/>
        <v>0</v>
      </c>
      <c r="AD15" s="31">
        <f t="shared" si="4"/>
        <v>0</v>
      </c>
      <c r="AE15" s="31">
        <f t="shared" si="4"/>
        <v>0</v>
      </c>
      <c r="AF15" s="31">
        <f t="shared" si="4"/>
        <v>0</v>
      </c>
      <c r="AG15" s="31">
        <f t="shared" si="4"/>
        <v>0</v>
      </c>
      <c r="AH15" s="31">
        <f t="shared" si="4"/>
        <v>0</v>
      </c>
      <c r="AI15" s="31">
        <f t="shared" si="4"/>
        <v>0</v>
      </c>
      <c r="AJ15" s="31">
        <f t="shared" si="4"/>
        <v>0</v>
      </c>
    </row>
    <row r="20" spans="10:10">
      <c r="J20" t="s">
        <v>53</v>
      </c>
    </row>
  </sheetData>
  <sortState ref="A2:AL11">
    <sortCondition ref="I2:I11" descending="1"/>
  </sortState>
  <mergeCells count="3">
    <mergeCell ref="A1:M1"/>
    <mergeCell ref="O1:AJ1"/>
    <mergeCell ref="A15:B1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1"/>
  <sheetViews>
    <sheetView workbookViewId="0">
      <selection activeCell="K14" sqref="K14"/>
    </sheetView>
  </sheetViews>
  <sheetFormatPr defaultColWidth="8.2421875" defaultRowHeight="15"/>
  <cols>
    <col min="3" max="5" width="8" customWidth="1"/>
    <col min="6" max="8" width="8.1796875" customWidth="1"/>
    <col min="9" max="9" width="10.2734375" customWidth="1"/>
    <col min="10" max="10" width="12" customWidth="1"/>
    <col min="11" max="13" width="14.453125" customWidth="1"/>
    <col min="14" max="14" width="9.90625" customWidth="1"/>
    <col min="15" max="18" width="6.90625" customWidth="1"/>
  </cols>
  <sheetData>
    <row r="1" ht="17.6" spans="1:36">
      <c r="A1" s="5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 t="s">
        <v>1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ht="33.75" spans="1:36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9" t="s">
        <v>10</v>
      </c>
      <c r="J2" s="8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33" t="s">
        <v>16</v>
      </c>
      <c r="P2" s="34" t="s">
        <v>17</v>
      </c>
      <c r="Q2" s="34" t="s">
        <v>18</v>
      </c>
      <c r="R2" s="34" t="s">
        <v>19</v>
      </c>
      <c r="S2" s="34" t="s">
        <v>20</v>
      </c>
      <c r="T2" s="34" t="s">
        <v>21</v>
      </c>
      <c r="U2" s="34" t="s">
        <v>22</v>
      </c>
      <c r="V2" s="34" t="s">
        <v>23</v>
      </c>
      <c r="W2" s="34" t="s">
        <v>24</v>
      </c>
      <c r="X2" s="34" t="s">
        <v>25</v>
      </c>
      <c r="Y2" s="34" t="s">
        <v>26</v>
      </c>
      <c r="Z2" s="34" t="s">
        <v>27</v>
      </c>
      <c r="AA2" s="34" t="s">
        <v>28</v>
      </c>
      <c r="AB2" s="34" t="s">
        <v>29</v>
      </c>
      <c r="AC2" s="34" t="s">
        <v>30</v>
      </c>
      <c r="AD2" s="34" t="s">
        <v>31</v>
      </c>
      <c r="AE2" s="34" t="s">
        <v>32</v>
      </c>
      <c r="AF2" s="34" t="s">
        <v>33</v>
      </c>
      <c r="AG2" s="34" t="s">
        <v>34</v>
      </c>
      <c r="AH2" s="34" t="s">
        <v>35</v>
      </c>
      <c r="AI2" s="34" t="s">
        <v>36</v>
      </c>
      <c r="AJ2" s="35" t="s">
        <v>37</v>
      </c>
    </row>
    <row r="3" ht="19.05" customHeight="1" spans="1:36">
      <c r="A3" s="13" t="s">
        <v>55</v>
      </c>
      <c r="B3" s="13" t="s">
        <v>56</v>
      </c>
      <c r="C3" s="13">
        <v>9</v>
      </c>
      <c r="D3" s="13">
        <v>6</v>
      </c>
      <c r="E3" s="14">
        <f>D3/C3</f>
        <v>0.666666666666667</v>
      </c>
      <c r="F3" s="13">
        <v>6</v>
      </c>
      <c r="G3" s="13">
        <v>6</v>
      </c>
      <c r="H3" s="13">
        <v>6</v>
      </c>
      <c r="I3" s="13">
        <v>19.5</v>
      </c>
      <c r="J3" s="13">
        <v>3</v>
      </c>
      <c r="K3" s="13">
        <v>110</v>
      </c>
      <c r="L3" s="13">
        <v>18</v>
      </c>
      <c r="M3" s="13">
        <f>K3+L3</f>
        <v>128</v>
      </c>
      <c r="N3" s="13">
        <v>19.5</v>
      </c>
      <c r="O3" s="13">
        <v>6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5"/>
    </row>
    <row r="4" ht="19.05" customHeight="1" spans="1:36">
      <c r="A4" s="13" t="s">
        <v>55</v>
      </c>
      <c r="B4" s="13" t="s">
        <v>57</v>
      </c>
      <c r="C4" s="13">
        <v>8</v>
      </c>
      <c r="D4" s="13">
        <v>6</v>
      </c>
      <c r="E4" s="14">
        <f t="shared" ref="E4:E9" si="0">D4/C4</f>
        <v>0.75</v>
      </c>
      <c r="F4" s="13">
        <v>6</v>
      </c>
      <c r="G4" s="13">
        <v>6</v>
      </c>
      <c r="H4" s="13">
        <v>8</v>
      </c>
      <c r="I4" s="13">
        <v>12</v>
      </c>
      <c r="J4" s="13">
        <v>6</v>
      </c>
      <c r="K4" s="13">
        <v>134</v>
      </c>
      <c r="L4" s="13">
        <v>28</v>
      </c>
      <c r="M4" s="13">
        <f t="shared" ref="M4:M9" si="1">K4+L4</f>
        <v>162</v>
      </c>
      <c r="N4" s="13">
        <v>12</v>
      </c>
      <c r="O4" s="13">
        <v>6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5"/>
    </row>
    <row r="5" ht="19.05" customHeight="1" spans="1:36">
      <c r="A5" s="13" t="s">
        <v>55</v>
      </c>
      <c r="B5" s="13" t="s">
        <v>58</v>
      </c>
      <c r="C5" s="13">
        <v>12</v>
      </c>
      <c r="D5" s="13">
        <v>8</v>
      </c>
      <c r="E5" s="14">
        <f t="shared" si="0"/>
        <v>0.666666666666667</v>
      </c>
      <c r="F5" s="13">
        <v>7.5</v>
      </c>
      <c r="G5" s="13">
        <v>7.5</v>
      </c>
      <c r="H5" s="13">
        <v>7.5</v>
      </c>
      <c r="I5" s="13">
        <v>26</v>
      </c>
      <c r="J5" s="13">
        <v>2</v>
      </c>
      <c r="K5" s="13">
        <v>157</v>
      </c>
      <c r="L5" s="13">
        <v>17</v>
      </c>
      <c r="M5" s="13">
        <f t="shared" si="1"/>
        <v>174</v>
      </c>
      <c r="N5" s="13">
        <v>26</v>
      </c>
      <c r="O5" s="13">
        <v>7.5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5"/>
    </row>
    <row r="6" ht="19.05" customHeight="1" spans="1:36">
      <c r="A6" s="13" t="s">
        <v>55</v>
      </c>
      <c r="B6" s="13" t="s">
        <v>59</v>
      </c>
      <c r="C6" s="13">
        <v>10</v>
      </c>
      <c r="D6" s="13">
        <v>7</v>
      </c>
      <c r="E6" s="14">
        <f t="shared" si="0"/>
        <v>0.7</v>
      </c>
      <c r="F6" s="13">
        <v>10</v>
      </c>
      <c r="G6" s="13">
        <v>10</v>
      </c>
      <c r="H6" s="13">
        <v>10</v>
      </c>
      <c r="I6" s="13">
        <v>33</v>
      </c>
      <c r="J6" s="13">
        <v>1</v>
      </c>
      <c r="K6" s="13">
        <v>140</v>
      </c>
      <c r="L6" s="13">
        <v>24</v>
      </c>
      <c r="M6" s="13">
        <f t="shared" si="1"/>
        <v>164</v>
      </c>
      <c r="N6" s="13">
        <v>33</v>
      </c>
      <c r="O6" s="13">
        <v>10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5"/>
    </row>
    <row r="7" ht="19.05" customHeight="1" spans="1:36">
      <c r="A7" s="13" t="s">
        <v>55</v>
      </c>
      <c r="B7" s="13" t="s">
        <v>60</v>
      </c>
      <c r="C7" s="13">
        <v>10</v>
      </c>
      <c r="D7" s="13">
        <v>7</v>
      </c>
      <c r="E7" s="14">
        <f t="shared" si="0"/>
        <v>0.7</v>
      </c>
      <c r="F7" s="13">
        <v>6</v>
      </c>
      <c r="G7" s="13">
        <v>6</v>
      </c>
      <c r="H7" s="13">
        <v>10</v>
      </c>
      <c r="I7" s="13">
        <v>17</v>
      </c>
      <c r="J7" s="13">
        <v>4</v>
      </c>
      <c r="K7" s="13">
        <v>146</v>
      </c>
      <c r="L7" s="13">
        <v>20</v>
      </c>
      <c r="M7" s="13">
        <f t="shared" si="1"/>
        <v>166</v>
      </c>
      <c r="N7" s="13">
        <v>17</v>
      </c>
      <c r="O7" s="13">
        <v>6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5"/>
    </row>
    <row r="8" ht="19.05" customHeight="1" spans="1:36">
      <c r="A8" s="13" t="s">
        <v>55</v>
      </c>
      <c r="B8" s="13" t="s">
        <v>61</v>
      </c>
      <c r="C8" s="13">
        <v>8</v>
      </c>
      <c r="D8" s="13">
        <v>6</v>
      </c>
      <c r="E8" s="14">
        <f t="shared" si="0"/>
        <v>0.75</v>
      </c>
      <c r="F8" s="13">
        <v>8</v>
      </c>
      <c r="G8" s="13">
        <v>8</v>
      </c>
      <c r="H8" s="13">
        <v>8</v>
      </c>
      <c r="I8" s="13">
        <v>17</v>
      </c>
      <c r="J8" s="13">
        <v>4</v>
      </c>
      <c r="K8" s="13">
        <v>140</v>
      </c>
      <c r="L8" s="13">
        <v>36</v>
      </c>
      <c r="M8" s="13">
        <f t="shared" si="1"/>
        <v>176</v>
      </c>
      <c r="N8" s="13">
        <v>17</v>
      </c>
      <c r="O8" s="13">
        <v>8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5"/>
    </row>
    <row r="9" ht="19.05" customHeight="1" spans="1:36">
      <c r="A9" s="13" t="s">
        <v>55</v>
      </c>
      <c r="B9" s="13" t="s">
        <v>62</v>
      </c>
      <c r="C9" s="13">
        <v>3</v>
      </c>
      <c r="D9" s="13">
        <v>3</v>
      </c>
      <c r="E9" s="14">
        <f t="shared" si="0"/>
        <v>1</v>
      </c>
      <c r="F9" s="13">
        <v>0</v>
      </c>
      <c r="G9" s="13">
        <v>0</v>
      </c>
      <c r="H9" s="13">
        <v>7</v>
      </c>
      <c r="I9" s="13">
        <v>7.5</v>
      </c>
      <c r="J9" s="13">
        <v>7</v>
      </c>
      <c r="K9" s="13">
        <v>57.5</v>
      </c>
      <c r="L9" s="13">
        <v>12</v>
      </c>
      <c r="M9" s="13">
        <f t="shared" si="1"/>
        <v>69.5</v>
      </c>
      <c r="N9" s="13">
        <v>7.5</v>
      </c>
      <c r="O9" s="13">
        <v>0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5"/>
    </row>
    <row r="10" ht="19.05" customHeight="1" spans="1:36">
      <c r="A10" s="16"/>
      <c r="B10" s="13"/>
      <c r="C10" s="13"/>
      <c r="D10" s="13"/>
      <c r="E10" s="14"/>
      <c r="F10" s="13"/>
      <c r="G10" s="13"/>
      <c r="H10" s="13"/>
      <c r="I10" s="13"/>
      <c r="J10" s="13"/>
      <c r="K10" s="13"/>
      <c r="L10" s="13"/>
      <c r="M10" s="13"/>
      <c r="N10" s="13"/>
      <c r="O10" s="1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5"/>
    </row>
    <row r="11" ht="19.05" customHeight="1" spans="1:36">
      <c r="A11" s="16"/>
      <c r="B11" s="13"/>
      <c r="C11" s="13"/>
      <c r="D11" s="13"/>
      <c r="E11" s="14"/>
      <c r="F11" s="13"/>
      <c r="G11" s="13"/>
      <c r="H11" s="13"/>
      <c r="I11" s="13"/>
      <c r="J11" s="13"/>
      <c r="K11" s="13"/>
      <c r="L11" s="13"/>
      <c r="M11" s="13"/>
      <c r="N11" s="13"/>
      <c r="O11" s="16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5"/>
    </row>
    <row r="12" ht="19.05" customHeight="1" spans="1:36">
      <c r="A12" s="16"/>
      <c r="B12" s="13"/>
      <c r="C12" s="13"/>
      <c r="D12" s="13"/>
      <c r="E12" s="14"/>
      <c r="F12" s="13"/>
      <c r="G12" s="13"/>
      <c r="H12" s="13"/>
      <c r="I12" s="13"/>
      <c r="J12" s="13"/>
      <c r="K12" s="13"/>
      <c r="L12" s="13"/>
      <c r="M12" s="13"/>
      <c r="N12" s="17"/>
      <c r="O12" s="16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5"/>
    </row>
    <row r="13" ht="19.05" customHeight="1" spans="1:36">
      <c r="A13" s="16"/>
      <c r="B13" s="13"/>
      <c r="C13" s="13"/>
      <c r="D13" s="13"/>
      <c r="E13" s="14"/>
      <c r="F13" s="13"/>
      <c r="G13" s="13"/>
      <c r="H13" s="13"/>
      <c r="I13" s="13"/>
      <c r="J13" s="13"/>
      <c r="K13" s="13"/>
      <c r="L13" s="13"/>
      <c r="M13" s="13"/>
      <c r="N13" s="17"/>
      <c r="O13" s="16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5"/>
    </row>
    <row r="14" ht="19.05" customHeight="1" spans="1:36">
      <c r="A14" s="16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13"/>
      <c r="N14" s="17"/>
      <c r="O14" s="16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5"/>
    </row>
    <row r="15" ht="19.05" customHeight="1" spans="1:36">
      <c r="A15" s="16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3"/>
      <c r="M15" s="13"/>
      <c r="N15" s="17"/>
      <c r="O15" s="16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5"/>
    </row>
    <row r="16" ht="19.05" customHeight="1" spans="1:36">
      <c r="A16" s="16"/>
      <c r="B16" s="13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13"/>
      <c r="N16" s="17"/>
      <c r="O16" s="16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5"/>
    </row>
    <row r="17" ht="19.05" customHeight="1" spans="1:36">
      <c r="A17" s="16"/>
      <c r="B17" s="13"/>
      <c r="C17" s="13"/>
      <c r="D17" s="13"/>
      <c r="E17" s="14"/>
      <c r="F17" s="13"/>
      <c r="G17" s="13"/>
      <c r="H17" s="13"/>
      <c r="I17" s="13"/>
      <c r="J17" s="13"/>
      <c r="K17" s="13"/>
      <c r="L17" s="13"/>
      <c r="M17" s="13"/>
      <c r="N17" s="17"/>
      <c r="O17" s="16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5"/>
    </row>
    <row r="18" ht="19.05" customHeight="1" spans="1:36">
      <c r="A18" s="16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13"/>
      <c r="N18" s="17"/>
      <c r="O18" s="16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5"/>
    </row>
    <row r="19" ht="19.05" customHeight="1" spans="1:36">
      <c r="A19" s="16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13"/>
      <c r="N19" s="17"/>
      <c r="O19" s="16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5"/>
    </row>
    <row r="20" ht="19.05" customHeight="1" spans="1:36">
      <c r="A20" s="16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13"/>
      <c r="N20" s="17"/>
      <c r="O20" s="16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5"/>
    </row>
    <row r="21" ht="19.05" customHeight="1" spans="1:36">
      <c r="A21" s="16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13"/>
      <c r="N21" s="17"/>
      <c r="O21" s="16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5"/>
    </row>
    <row r="22" ht="19.05" customHeight="1" spans="1:36">
      <c r="A22" s="16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13"/>
      <c r="N22" s="17"/>
      <c r="O22" s="16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5"/>
    </row>
    <row r="23" ht="19.05" customHeight="1" spans="1:36">
      <c r="A23" s="16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3"/>
      <c r="N23" s="17"/>
      <c r="O23" s="16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5"/>
    </row>
    <row r="24" ht="19.05" customHeight="1" spans="1:36">
      <c r="A24" s="16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3"/>
      <c r="N24" s="17"/>
      <c r="O24" s="16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5"/>
    </row>
    <row r="25" ht="19.05" customHeight="1" spans="1:36">
      <c r="A25" s="16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3"/>
      <c r="N25" s="17"/>
      <c r="O25" s="16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5"/>
    </row>
    <row r="26" ht="19.05" customHeight="1" spans="1:36">
      <c r="A26" s="16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3"/>
      <c r="N26" s="17"/>
      <c r="O26" s="16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5"/>
    </row>
    <row r="27" ht="19.05" customHeight="1" spans="1:36">
      <c r="A27" s="16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3"/>
      <c r="N27" s="17"/>
      <c r="O27" s="16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5"/>
    </row>
    <row r="28" ht="19.05" customHeight="1" spans="1:36">
      <c r="A28" s="16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3"/>
      <c r="N28" s="17"/>
      <c r="O28" s="16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5"/>
    </row>
    <row r="29" ht="19.05" customHeight="1" spans="1:36">
      <c r="A29" s="16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3"/>
      <c r="N29" s="17"/>
      <c r="O29" s="16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5"/>
    </row>
    <row r="30" ht="19.05" customHeight="1" spans="1:36">
      <c r="A30" s="16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3"/>
      <c r="N30" s="17"/>
      <c r="O30" s="16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5"/>
    </row>
    <row r="31" ht="19.05" customHeight="1" spans="1:36">
      <c r="A31" s="16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3"/>
      <c r="N31" s="17"/>
      <c r="O31" s="16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5"/>
    </row>
    <row r="32" ht="19.05" customHeight="1" spans="1:36">
      <c r="A32" s="16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3"/>
      <c r="N32" s="17"/>
      <c r="O32" s="16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5"/>
    </row>
    <row r="33" ht="19.05" customHeight="1" spans="1:36">
      <c r="A33" s="16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3"/>
      <c r="N33" s="17"/>
      <c r="O33" s="16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5"/>
    </row>
    <row r="34" ht="19.05" customHeight="1" spans="1:36">
      <c r="A34" s="16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3"/>
      <c r="N34" s="17"/>
      <c r="O34" s="16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5"/>
    </row>
    <row r="35" ht="19.05" customHeight="1" spans="1:36">
      <c r="A35" s="16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3"/>
      <c r="N35" s="17"/>
      <c r="O35" s="16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5"/>
    </row>
    <row r="36" ht="19.05" customHeight="1" spans="1:36">
      <c r="A36" s="16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3"/>
      <c r="N36" s="17"/>
      <c r="O36" s="16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5"/>
    </row>
    <row r="37" ht="19.05" customHeight="1" spans="1:36">
      <c r="A37" s="16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3"/>
      <c r="N37" s="17"/>
      <c r="O37" s="16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5"/>
    </row>
    <row r="38" ht="19.05" customHeight="1" spans="1:36">
      <c r="A38" s="16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3"/>
      <c r="N38" s="17"/>
      <c r="O38" s="16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5"/>
    </row>
    <row r="39" ht="19.05" customHeight="1" spans="1:36">
      <c r="A39" s="16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3"/>
      <c r="N39" s="17"/>
      <c r="O39" s="1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5"/>
    </row>
    <row r="40" ht="19.05" customHeight="1" spans="1:36">
      <c r="A40" s="16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3"/>
      <c r="N40" s="17"/>
      <c r="O40" s="16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5"/>
    </row>
    <row r="41" ht="19.05" customHeight="1" spans="1:36">
      <c r="A41" s="16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3"/>
      <c r="N41" s="17"/>
      <c r="O41" s="1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5"/>
    </row>
    <row r="42" ht="19.05" customHeight="1" spans="1:36">
      <c r="A42" s="16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3"/>
      <c r="N42" s="17"/>
      <c r="O42" s="16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5"/>
    </row>
    <row r="43" ht="19.05" customHeight="1" spans="1:36">
      <c r="A43" s="16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3"/>
      <c r="N43" s="17"/>
      <c r="O43" s="1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5"/>
    </row>
    <row r="44" ht="19.05" customHeight="1" spans="1:36">
      <c r="A44" s="16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3"/>
      <c r="N44" s="17"/>
      <c r="O44" s="16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5"/>
    </row>
    <row r="45" ht="19.05" customHeight="1" spans="1:36">
      <c r="A45" s="16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3"/>
      <c r="N45" s="17"/>
      <c r="O45" s="1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5"/>
    </row>
    <row r="46" ht="19.05" customHeight="1" spans="1:36">
      <c r="A46" s="16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3"/>
      <c r="N46" s="17"/>
      <c r="O46" s="16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5"/>
    </row>
    <row r="47" ht="19.05" customHeight="1" spans="1:36">
      <c r="A47" s="16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3"/>
      <c r="N47" s="17"/>
      <c r="O47" s="16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5"/>
    </row>
    <row r="48" ht="19.05" customHeight="1" spans="1:36">
      <c r="A48" s="16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3"/>
      <c r="N48" s="17"/>
      <c r="O48" s="1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5"/>
    </row>
    <row r="49" ht="19.05" customHeight="1" spans="1:36">
      <c r="A49" s="16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3"/>
      <c r="N49" s="17"/>
      <c r="O49" s="16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5"/>
    </row>
    <row r="50" ht="19.05" customHeight="1" spans="1:36">
      <c r="A50" s="16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3"/>
      <c r="N50" s="17"/>
      <c r="O50" s="16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5"/>
    </row>
    <row r="51" ht="15.75" spans="1:36">
      <c r="A51" s="18" t="s">
        <v>51</v>
      </c>
      <c r="B51" s="19"/>
      <c r="C51" s="19">
        <f t="shared" ref="C51:I51" si="2">SUM(C3:C50)</f>
        <v>60</v>
      </c>
      <c r="D51" s="19">
        <f t="shared" si="2"/>
        <v>43</v>
      </c>
      <c r="E51" s="20">
        <f t="shared" ref="E51" si="3">D51/C51</f>
        <v>0.716666666666667</v>
      </c>
      <c r="F51" s="19">
        <f t="shared" si="2"/>
        <v>43.5</v>
      </c>
      <c r="G51" s="19">
        <f t="shared" si="2"/>
        <v>43.5</v>
      </c>
      <c r="H51" s="19">
        <f t="shared" si="2"/>
        <v>56.5</v>
      </c>
      <c r="I51" s="19">
        <f t="shared" si="2"/>
        <v>132</v>
      </c>
      <c r="J51" s="21" t="s">
        <v>52</v>
      </c>
      <c r="K51" s="19">
        <f>SUM(K3:K50)</f>
        <v>884.5</v>
      </c>
      <c r="L51" s="19">
        <f t="shared" ref="L51:P51" si="4">SUM(L3:L50)</f>
        <v>155</v>
      </c>
      <c r="M51" s="19">
        <f t="shared" si="4"/>
        <v>1039.5</v>
      </c>
      <c r="N51" s="22">
        <f t="shared" si="4"/>
        <v>132</v>
      </c>
      <c r="O51" s="18">
        <f t="shared" si="4"/>
        <v>43.5</v>
      </c>
      <c r="P51" s="19">
        <f t="shared" si="4"/>
        <v>0</v>
      </c>
      <c r="Q51" s="19">
        <f t="shared" ref="Q51:V51" si="5">SUM(Q3:Q50)</f>
        <v>0</v>
      </c>
      <c r="R51" s="23">
        <f t="shared" si="5"/>
        <v>0</v>
      </c>
      <c r="S51" s="24">
        <f t="shared" si="5"/>
        <v>0</v>
      </c>
      <c r="T51" s="24">
        <f t="shared" si="5"/>
        <v>0</v>
      </c>
      <c r="U51" s="24">
        <f t="shared" si="5"/>
        <v>0</v>
      </c>
      <c r="V51" s="24">
        <f t="shared" si="5"/>
        <v>0</v>
      </c>
      <c r="W51" s="24">
        <f t="shared" ref="W51" si="6">SUM(W3:W50)</f>
        <v>0</v>
      </c>
      <c r="X51" s="24">
        <f t="shared" ref="X51:AJ51" si="7">SUM(X3:X50)</f>
        <v>0</v>
      </c>
      <c r="Y51" s="24">
        <f t="shared" si="7"/>
        <v>0</v>
      </c>
      <c r="Z51" s="24">
        <f t="shared" si="7"/>
        <v>0</v>
      </c>
      <c r="AA51" s="24">
        <f t="shared" si="7"/>
        <v>0</v>
      </c>
      <c r="AB51" s="24">
        <f t="shared" si="7"/>
        <v>0</v>
      </c>
      <c r="AC51" s="24">
        <f t="shared" si="7"/>
        <v>0</v>
      </c>
      <c r="AD51" s="24">
        <f t="shared" si="7"/>
        <v>0</v>
      </c>
      <c r="AE51" s="24">
        <f t="shared" si="7"/>
        <v>0</v>
      </c>
      <c r="AF51" s="24">
        <f t="shared" si="7"/>
        <v>0</v>
      </c>
      <c r="AG51" s="24">
        <f t="shared" si="7"/>
        <v>0</v>
      </c>
      <c r="AH51" s="24">
        <f t="shared" si="7"/>
        <v>0</v>
      </c>
      <c r="AI51" s="24">
        <f t="shared" si="7"/>
        <v>0</v>
      </c>
      <c r="AJ51" s="25">
        <f t="shared" si="7"/>
        <v>0</v>
      </c>
    </row>
  </sheetData>
  <autoFilter xmlns:etc="http://www.wps.cn/officeDocument/2017/etCustomData" ref="A2:V51" etc:filterBottomFollowUsedRange="0">
    <extLst/>
  </autoFilter>
  <sortState ref="A3:Y50">
    <sortCondition ref="I3:I50" descending="1"/>
  </sortState>
  <mergeCells count="3">
    <mergeCell ref="A1:N1"/>
    <mergeCell ref="O1:AJ1"/>
    <mergeCell ref="A51:B5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G8" sqref="G8"/>
    </sheetView>
  </sheetViews>
  <sheetFormatPr defaultColWidth="8.2421875" defaultRowHeight="15" outlineLevelCol="6"/>
  <cols>
    <col min="5" max="5" width="24.2734375" customWidth="1"/>
    <col min="6" max="6" width="18.546875" customWidth="1"/>
    <col min="7" max="7" width="12.8203125" customWidth="1"/>
  </cols>
  <sheetData>
    <row r="1" ht="20.25" spans="1:7">
      <c r="A1" s="2" t="s">
        <v>63</v>
      </c>
      <c r="B1" s="2"/>
      <c r="C1" s="2"/>
      <c r="D1" s="2"/>
      <c r="E1" s="2"/>
      <c r="F1" s="2"/>
      <c r="G1" s="2"/>
    </row>
    <row r="2" ht="16.1" spans="1:7">
      <c r="A2" s="1" t="s">
        <v>64</v>
      </c>
      <c r="B2" s="1" t="s">
        <v>3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</row>
    <row r="3" ht="16.1" spans="1:7">
      <c r="A3" s="1">
        <v>1</v>
      </c>
      <c r="B3" s="1" t="s">
        <v>46</v>
      </c>
      <c r="C3" s="3">
        <v>46059</v>
      </c>
      <c r="D3" s="1" t="s">
        <v>70</v>
      </c>
      <c r="E3" s="1" t="s">
        <v>71</v>
      </c>
      <c r="F3" s="3">
        <v>46060</v>
      </c>
      <c r="G3" s="1" t="s">
        <v>72</v>
      </c>
    </row>
    <row r="4" ht="16.1" spans="1:7">
      <c r="A4" s="1">
        <v>2</v>
      </c>
      <c r="B4" s="1" t="s">
        <v>39</v>
      </c>
      <c r="C4" s="3">
        <v>46060</v>
      </c>
      <c r="D4" s="1" t="s">
        <v>73</v>
      </c>
      <c r="E4" s="1" t="s">
        <v>74</v>
      </c>
      <c r="F4" s="1" t="s">
        <v>75</v>
      </c>
      <c r="G4" s="1" t="s">
        <v>76</v>
      </c>
    </row>
    <row r="5" ht="16.1" spans="1:7">
      <c r="A5" s="1">
        <v>3</v>
      </c>
      <c r="B5" s="1" t="s">
        <v>39</v>
      </c>
      <c r="C5" s="3">
        <v>46062</v>
      </c>
      <c r="D5" s="1" t="s">
        <v>77</v>
      </c>
      <c r="E5" s="1" t="s">
        <v>78</v>
      </c>
      <c r="F5" s="3">
        <v>46064</v>
      </c>
      <c r="G5" s="1" t="s">
        <v>76</v>
      </c>
    </row>
    <row r="6" ht="16.1" spans="1:7">
      <c r="A6" s="1">
        <v>4</v>
      </c>
      <c r="B6" s="1" t="s">
        <v>42</v>
      </c>
      <c r="C6" s="3">
        <v>46062</v>
      </c>
      <c r="D6" s="1" t="s">
        <v>79</v>
      </c>
      <c r="E6" s="1" t="s">
        <v>80</v>
      </c>
      <c r="F6" s="1" t="s">
        <v>75</v>
      </c>
      <c r="G6" s="1" t="s">
        <v>76</v>
      </c>
    </row>
    <row r="7" ht="16.1" spans="1:7">
      <c r="A7" s="1"/>
      <c r="B7" s="1"/>
      <c r="C7" s="1"/>
      <c r="D7" s="1"/>
      <c r="E7" s="1"/>
      <c r="F7" s="1"/>
      <c r="G7" s="1"/>
    </row>
    <row r="8" ht="16.1" spans="1:7">
      <c r="A8" s="1"/>
      <c r="B8" s="1"/>
      <c r="C8" s="1"/>
      <c r="D8" s="1"/>
      <c r="E8" s="1"/>
      <c r="F8" s="1"/>
      <c r="G8" s="1"/>
    </row>
    <row r="9" ht="16.1" spans="1:7">
      <c r="A9" s="1"/>
      <c r="B9" s="1"/>
      <c r="C9" s="1"/>
      <c r="D9" s="1"/>
      <c r="E9" s="1"/>
      <c r="F9" s="1"/>
      <c r="G9" s="1"/>
    </row>
    <row r="10" ht="16.1" spans="1:7">
      <c r="A10" s="1"/>
      <c r="B10" s="1"/>
      <c r="C10" s="1"/>
      <c r="D10" s="1"/>
      <c r="E10" s="1"/>
      <c r="F10" s="1"/>
      <c r="G10" s="1"/>
    </row>
    <row r="11" ht="16.1" spans="1:7">
      <c r="A11" s="1"/>
      <c r="B11" s="1"/>
      <c r="C11" s="1"/>
      <c r="D11" s="1"/>
      <c r="E11" s="1"/>
      <c r="F11" s="1"/>
      <c r="G11" s="1"/>
    </row>
    <row r="12" ht="16.1" spans="1:7">
      <c r="A12" s="1"/>
      <c r="B12" s="1"/>
      <c r="C12" s="1"/>
      <c r="D12" s="1"/>
      <c r="E12" s="1"/>
      <c r="F12" s="1"/>
      <c r="G12" s="1"/>
    </row>
    <row r="13" ht="16.1" spans="1:7">
      <c r="A13" s="1"/>
      <c r="B13" s="1"/>
      <c r="C13" s="1"/>
      <c r="D13" s="1"/>
      <c r="E13" s="1"/>
      <c r="F13" s="1"/>
      <c r="G13" s="1"/>
    </row>
    <row r="14" ht="16.1" spans="1:7">
      <c r="A14" s="1"/>
      <c r="B14" s="1"/>
      <c r="C14" s="1"/>
      <c r="D14" s="1"/>
      <c r="E14" s="1"/>
      <c r="F14" s="1"/>
      <c r="G14" s="1"/>
    </row>
    <row r="15" ht="16.1" spans="1:7">
      <c r="A15" s="1"/>
      <c r="B15" s="1"/>
      <c r="C15" s="1"/>
      <c r="D15" s="1"/>
      <c r="E15" s="1"/>
      <c r="F15" s="1"/>
      <c r="G15" s="1"/>
    </row>
    <row r="16" ht="16.1" spans="1:7">
      <c r="A16" s="1"/>
      <c r="B16" s="1"/>
      <c r="C16" s="1"/>
      <c r="D16" s="1"/>
      <c r="E16" s="1"/>
      <c r="F16" s="1"/>
      <c r="G16" s="1"/>
    </row>
    <row r="17" ht="16.1" spans="1:7">
      <c r="A17" s="1"/>
      <c r="B17" s="1"/>
      <c r="C17" s="1"/>
      <c r="D17" s="1"/>
      <c r="E17" s="1"/>
      <c r="F17" s="1"/>
      <c r="G17" s="1"/>
    </row>
    <row r="18" ht="16.1" spans="1:7">
      <c r="A18" s="1"/>
      <c r="B18" s="1"/>
      <c r="C18" s="1"/>
      <c r="D18" s="1"/>
      <c r="E18" s="1"/>
      <c r="F18" s="1"/>
      <c r="G18" s="1"/>
    </row>
    <row r="19" ht="16.1" spans="1:7">
      <c r="A19" s="1"/>
      <c r="B19" s="1"/>
      <c r="C19" s="1"/>
      <c r="D19" s="1"/>
      <c r="E19" s="1"/>
      <c r="F19" s="1"/>
      <c r="G19" s="1"/>
    </row>
    <row r="20" ht="16.1" spans="1:7">
      <c r="A20" s="1"/>
      <c r="B20" s="1"/>
      <c r="C20" s="1"/>
      <c r="D20" s="1"/>
      <c r="E20" s="1"/>
      <c r="F20" s="1"/>
      <c r="G20" s="1"/>
    </row>
    <row r="21" ht="16.1" spans="1:7">
      <c r="A21" s="1"/>
      <c r="B21" s="1"/>
      <c r="C21" s="1"/>
      <c r="D21" s="1"/>
      <c r="E21" s="1"/>
      <c r="F21" s="1"/>
      <c r="G21" s="1"/>
    </row>
    <row r="22" ht="16.1" spans="1:7">
      <c r="A22" s="1"/>
      <c r="B22" s="1"/>
      <c r="C22" s="1"/>
      <c r="D22" s="1"/>
      <c r="E22" s="1"/>
      <c r="F22" s="1"/>
      <c r="G22" s="1"/>
    </row>
    <row r="23" ht="16.1" spans="1:7">
      <c r="A23" s="1"/>
      <c r="B23" s="1"/>
      <c r="C23" s="1"/>
      <c r="D23" s="1"/>
      <c r="E23" s="1"/>
      <c r="F23" s="1"/>
      <c r="G23" s="1"/>
    </row>
    <row r="24" ht="16.1" spans="1:7">
      <c r="A24" s="1"/>
      <c r="B24" s="1"/>
      <c r="C24" s="1"/>
      <c r="D24" s="1"/>
      <c r="E24" s="1"/>
      <c r="F24" s="1"/>
      <c r="G24" s="1"/>
    </row>
    <row r="25" ht="16.1" spans="1:7">
      <c r="A25" s="1"/>
      <c r="B25" s="1"/>
      <c r="C25" s="1"/>
      <c r="D25" s="1"/>
      <c r="E25" s="1"/>
      <c r="F25" s="1"/>
      <c r="G25" s="1"/>
    </row>
    <row r="26" ht="16.1" spans="1:7">
      <c r="A26" s="1"/>
      <c r="B26" s="1"/>
      <c r="C26" s="1"/>
      <c r="D26" s="1"/>
      <c r="E26" s="1"/>
      <c r="F26" s="1"/>
      <c r="G26" s="1"/>
    </row>
    <row r="27" ht="16.1" spans="1:7">
      <c r="A27" s="1"/>
      <c r="B27" s="1"/>
      <c r="C27" s="1"/>
      <c r="D27" s="1"/>
      <c r="E27" s="1"/>
      <c r="F27" s="1"/>
      <c r="G27" s="1"/>
    </row>
    <row r="28" ht="16.1" spans="1:7">
      <c r="A28" s="4"/>
      <c r="B28" s="4"/>
      <c r="C28" s="4"/>
      <c r="D28" s="4"/>
      <c r="E28" s="4"/>
      <c r="F28" s="4"/>
      <c r="G28" s="4"/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8"/>
  <sheetViews>
    <sheetView workbookViewId="0">
      <selection activeCell="B21" sqref="B21"/>
    </sheetView>
  </sheetViews>
  <sheetFormatPr defaultColWidth="8.2421875" defaultRowHeight="15" outlineLevelRow="7" outlineLevelCol="2"/>
  <cols>
    <col min="2" max="2" width="28.09375" customWidth="1"/>
    <col min="3" max="3" width="34.453125" customWidth="1"/>
  </cols>
  <sheetData>
    <row r="2" ht="16.1" spans="2:3">
      <c r="B2" s="1" t="s">
        <v>81</v>
      </c>
      <c r="C2" s="1"/>
    </row>
    <row r="3" ht="16.1" spans="2:3">
      <c r="B3" s="1" t="s">
        <v>65</v>
      </c>
      <c r="C3" s="1" t="s">
        <v>82</v>
      </c>
    </row>
    <row r="4" ht="16.1" spans="2:3">
      <c r="B4" s="1" t="s">
        <v>83</v>
      </c>
      <c r="C4" s="1" t="s">
        <v>84</v>
      </c>
    </row>
    <row r="5" ht="16.1" spans="2:3">
      <c r="B5" s="1" t="s">
        <v>85</v>
      </c>
      <c r="C5" s="1" t="s">
        <v>86</v>
      </c>
    </row>
    <row r="6" ht="16.1" spans="2:3">
      <c r="B6" s="1" t="s">
        <v>87</v>
      </c>
      <c r="C6" s="1" t="s">
        <v>88</v>
      </c>
    </row>
    <row r="7" ht="16.1" spans="2:3">
      <c r="B7" s="1" t="s">
        <v>89</v>
      </c>
      <c r="C7" s="1" t="s">
        <v>90</v>
      </c>
    </row>
    <row r="8" ht="16.1" spans="2:3">
      <c r="B8" s="1" t="s">
        <v>91</v>
      </c>
      <c r="C8" s="1" t="s">
        <v>92</v>
      </c>
    </row>
  </sheetData>
  <mergeCells count="1"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学科组</vt:lpstr>
      <vt:lpstr>汇总</vt:lpstr>
      <vt:lpstr>失课控制</vt:lpstr>
      <vt:lpstr>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一花一世界</cp:lastModifiedBy>
  <dcterms:created xsi:type="dcterms:W3CDTF">2018-07-08T10:06:00Z</dcterms:created>
  <dcterms:modified xsi:type="dcterms:W3CDTF">2026-02-09T14:30:09Z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C686EC551F4142A9A7469ED9E415F801_13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