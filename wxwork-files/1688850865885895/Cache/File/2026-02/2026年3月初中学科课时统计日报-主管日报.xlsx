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7月" sheetId="1" r:id="rId1"/>
    <sheet name="Sheet1" sheetId="2" r:id="rId2"/>
  </sheets>
  <definedNames>
    <definedName name="_xlnm._FilterDatabase" localSheetId="0" hidden="1">'7月'!$2:$8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<sst xmlns="http://schemas.openxmlformats.org/spreadsheetml/2006/main" count="69" uniqueCount="55">
  <si>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学科</t>
  </si>
  <si>
    <t>3月任务</t>
  </si>
  <si>
    <t>在册学员</t>
  </si>
  <si>
    <t>在读学员</t>
  </si>
  <si>
    <t>行课率</t>
  </si>
  <si>
    <t>目前生均</t>
  </si>
  <si>
    <t>当日预排</t>
  </si>
  <si>
    <t>当日浮动</t>
  </si>
  <si>
    <t>当日实际</t>
  </si>
  <si>
    <t>明日预排</t>
  </si>
  <si>
    <t>月累计课时</t>
  </si>
  <si>
    <t>月完成率</t>
  </si>
  <si>
    <t>第一周任务</t>
  </si>
  <si>
    <t>第一周实际</t>
  </si>
  <si>
    <t>周完成率</t>
  </si>
  <si>
    <t>第二周任务</t>
  </si>
  <si>
    <t>第二周实际</t>
  </si>
  <si>
    <t>第三周任务</t>
  </si>
  <si>
    <t>第三周实际</t>
  </si>
  <si>
    <t>第四周任务</t>
  </si>
  <si>
    <t>第四周实际</t>
  </si>
  <si>
    <t>25年3月课时</t>
  </si>
  <si>
    <t>初数北区</t>
  </si>
  <si>
    <t>初中物理</t>
  </si>
  <si>
    <t>初中英语</t>
  </si>
  <si>
    <t>初中生化</t>
  </si>
  <si>
    <t>初中文综</t>
  </si>
  <si>
    <t>初数南区</t>
  </si>
  <si>
    <t>初中语文</t>
  </si>
  <si>
    <t>总计</t>
  </si>
  <si>
    <t>学段</t>
  </si>
  <si>
    <t>月任务</t>
  </si>
  <si>
    <t>当日课时</t>
  </si>
  <si>
    <t>累计课时</t>
  </si>
  <si>
    <t>完成率</t>
  </si>
  <si>
    <t>同比增长率</t>
  </si>
  <si>
    <t>初中</t>
  </si>
  <si>
    <t>10月初中课时任务季度</t>
  </si>
  <si>
    <t>学科组</t>
  </si>
  <si>
    <t>任务</t>
  </si>
  <si>
    <t>月完成</t>
  </si>
  <si>
    <t>月差额</t>
  </si>
  <si>
    <t>第1周任务</t>
  </si>
  <si>
    <t>第1周实际</t>
  </si>
  <si>
    <t>第1周差额</t>
  </si>
  <si>
    <t>第2周任务</t>
  </si>
  <si>
    <t>第2周实际</t>
  </si>
  <si>
    <t>第2周差额</t>
  </si>
  <si>
    <t>第3周任务</t>
  </si>
  <si>
    <t>第3周实际</t>
  </si>
  <si>
    <t>第3周差额</t>
  </si>
  <si>
    <t>第4周任务</t>
  </si>
  <si>
    <t>第4周实际</t>
  </si>
  <si>
    <t>第4周差额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</si>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</sst>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m/d;@"/>
    <numFmt numFmtId="178" formatCode="0.00_ "/>
    <numFmt numFmtId="179" formatCode="0_);[Red]\(0\)"/>
  </numFmts>
  <fonts count="29">
    <font>
      <sz val="11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b/>
      <sz val="12"/>
      <color indexed="9"/>
      <name val="微软雅黑"/>
      <charset val="134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b/>
      <sz val="12"/>
      <color theme="0"/>
      <name val="微软雅黑"/>
      <charset val="134"/>
    </font>
    <font>
      <b/>
      <sz val="12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/>
    </xf>
    <xf numFmtId="179" fontId="6" fillId="8" borderId="1" xfId="0" applyNumberFormat="1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9" fontId="6" fillId="4" borderId="1" xfId="3" applyFont="1" applyFill="1" applyBorder="1" applyAlignment="1">
      <alignment horizontal="center" vertical="center"/>
    </xf>
    <xf numFmtId="0" fontId="6" fillId="4" borderId="1" xfId="3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179" fontId="8" fillId="5" borderId="1" xfId="3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6" fillId="9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0" fontId="6" fillId="4" borderId="1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76" fontId="9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76" fontId="6" fillId="9" borderId="1" xfId="0" applyNumberFormat="1" applyFont="1" applyFill="1" applyBorder="1" applyAlignment="1">
      <alignment horizontal="center" vertical="center"/>
    </xf>
    <xf numFmtId="9" fontId="7" fillId="9" borderId="1" xfId="0" applyNumberFormat="1" applyFont="1" applyFill="1" applyBorder="1" applyAlignment="1">
      <alignment horizontal="center" vertical="center"/>
    </xf>
    <xf numFmtId="10" fontId="6" fillId="9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4"/>
  <sheetViews>
    <sheetView tabSelected="1" zoomScale="60" zoomScaleNormal="60" workbookViewId="0">
      <pane xSplit="5" topLeftCell="F1" activePane="topRight" state="frozen"/>
      <selection/>
      <selection pane="topRight" activeCell="H24" sqref="H24"/>
    </sheetView>
  </sheetViews>
  <sheetFormatPr defaultColWidth="8.50833333333333" defaultRowHeight="14"/>
  <cols>
    <col min="1" max="1" width="10.65" style="8" customWidth="1"/>
    <col min="2" max="2" width="10.8583333333333" style="8" customWidth="1"/>
    <col min="3" max="3" width="10.65" style="8" customWidth="1"/>
    <col min="4" max="5" width="10.35" style="8" customWidth="1"/>
    <col min="6" max="6" width="14" style="8" customWidth="1"/>
    <col min="7" max="7" width="10.35" style="8" customWidth="1"/>
    <col min="8" max="8" width="15.65" style="8" customWidth="1"/>
    <col min="9" max="9" width="12.35" style="8" customWidth="1"/>
    <col min="10" max="10" width="10.35" style="8" customWidth="1"/>
    <col min="11" max="11" width="12.35" style="8" customWidth="1"/>
    <col min="12" max="12" width="10.35" style="8" customWidth="1"/>
    <col min="13" max="14" width="12.35" style="8" customWidth="1"/>
    <col min="15" max="15" width="10.1416666666667" style="8" customWidth="1"/>
    <col min="16" max="20" width="8.35" style="8" customWidth="1"/>
    <col min="21" max="21" width="12.65" style="8" customWidth="1"/>
    <col min="22" max="22" width="12.35" style="8" customWidth="1"/>
    <col min="23" max="23" width="10.35" style="8" customWidth="1"/>
    <col min="24" max="28" width="12.35" style="8" customWidth="1"/>
    <col min="29" max="32" width="10.65" style="8" customWidth="1"/>
    <col min="33" max="33" width="13.1416666666667" style="8" customWidth="1"/>
    <col min="34" max="34" width="14" style="8" customWidth="1"/>
    <col min="35" max="35" width="10.65" style="8" customWidth="1"/>
    <col min="36" max="39" width="8.50833333333333" style="8" customWidth="1"/>
    <col min="40" max="40" width="15.65" style="8" customWidth="1"/>
    <col min="41" max="16347" width="8.50833333333333" style="8"/>
  </cols>
  <sheetData>
    <row r="1" ht="16.5" spans="1:4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10">
        <v>46082</v>
      </c>
      <c r="Q1" s="10">
        <v>46083</v>
      </c>
      <c r="R1" s="10">
        <v>46084</v>
      </c>
      <c r="S1" s="10">
        <v>46085</v>
      </c>
      <c r="T1" s="10">
        <v>46089</v>
      </c>
      <c r="U1" s="10" t="s">
        <v>15</v>
      </c>
      <c r="V1" s="10" t="s">
        <v>16</v>
      </c>
      <c r="W1" s="10" t="s">
        <v>14</v>
      </c>
      <c r="X1" s="10">
        <v>46094</v>
      </c>
      <c r="Y1" s="10">
        <v>46095</v>
      </c>
      <c r="Z1" s="10">
        <v>46096</v>
      </c>
      <c r="AA1" s="10" t="s">
        <v>17</v>
      </c>
      <c r="AB1" s="10" t="s">
        <v>18</v>
      </c>
      <c r="AC1" s="10" t="s">
        <v>14</v>
      </c>
      <c r="AD1" s="10">
        <v>46101</v>
      </c>
      <c r="AE1" s="10">
        <v>46102</v>
      </c>
      <c r="AF1" s="10">
        <v>46103</v>
      </c>
      <c r="AG1" s="10" t="s">
        <v>19</v>
      </c>
      <c r="AH1" s="10" t="s">
        <v>20</v>
      </c>
      <c r="AI1" s="10" t="s">
        <v>14</v>
      </c>
      <c r="AJ1" s="10">
        <v>46108</v>
      </c>
      <c r="AK1" s="10">
        <v>46109</v>
      </c>
      <c r="AL1" s="10">
        <v>46110</v>
      </c>
      <c r="AM1" s="10">
        <v>46112</v>
      </c>
      <c r="AN1" s="11" t="s">
        <v>21</v>
      </c>
    </row>
    <row r="2" customFormat="1" ht="16.5" spans="1:40">
      <c r="A2" s="12" t="s">
        <v>22</v>
      </c>
      <c r="B2" s="13">
        <v>1126</v>
      </c>
      <c r="C2" s="12">
        <v>91</v>
      </c>
      <c r="D2" s="12">
        <v>68</v>
      </c>
      <c r="E2" s="14">
        <f>D2/C2</f>
        <v>0.747252747252747</v>
      </c>
      <c r="F2" s="15">
        <f>K2/D2</f>
        <v>0</v>
      </c>
      <c r="G2" s="16">
        <v>105</v>
      </c>
      <c r="H2" s="17">
        <f>I2-G2</f>
        <v>-105</v>
      </c>
      <c r="I2" s="16"/>
      <c r="J2" s="18"/>
      <c r="K2" s="19">
        <f>N2+V2+AB2+AH2</f>
        <v>0</v>
      </c>
      <c r="L2" s="20">
        <f>K2/B2</f>
        <v>0</v>
      </c>
      <c r="M2" s="21">
        <f>B2*0.28</f>
        <v>315.28</v>
      </c>
      <c r="N2" s="13">
        <f>SUM(P2:T2)</f>
        <v>0</v>
      </c>
      <c r="O2" s="22">
        <f>N2/M2</f>
        <v>0</v>
      </c>
      <c r="P2" s="21"/>
      <c r="Q2" s="21"/>
      <c r="R2" s="21"/>
      <c r="S2" s="21"/>
      <c r="T2" s="21"/>
      <c r="U2" s="21">
        <f>B2*0.25</f>
        <v>281.5</v>
      </c>
      <c r="V2" s="13">
        <f>SUM(X2:Z2)</f>
        <v>0</v>
      </c>
      <c r="W2" s="22">
        <f>V2/U2</f>
        <v>0</v>
      </c>
      <c r="X2" s="21"/>
      <c r="Y2" s="21"/>
      <c r="Z2" s="21"/>
      <c r="AA2" s="21">
        <f>B2*0.25</f>
        <v>281.5</v>
      </c>
      <c r="AB2" s="13">
        <f>AF2</f>
        <v>0</v>
      </c>
      <c r="AC2" s="22">
        <f>AB2/AA2</f>
        <v>0</v>
      </c>
      <c r="AD2" s="21"/>
      <c r="AE2" s="21"/>
      <c r="AF2" s="21"/>
      <c r="AG2" s="13">
        <f>B2*0.25</f>
        <v>281.5</v>
      </c>
      <c r="AH2" s="13">
        <f>SUM(AJ2:AM2)</f>
        <v>0</v>
      </c>
      <c r="AI2" s="22">
        <f>AH2/AG2</f>
        <v>0</v>
      </c>
      <c r="AJ2" s="23"/>
      <c r="AK2" s="23"/>
      <c r="AL2" s="23"/>
      <c r="AM2" s="23"/>
      <c r="AN2" s="12">
        <v>936.5</v>
      </c>
    </row>
    <row r="3" customFormat="1" ht="16.5" spans="1:40">
      <c r="A3" s="12" t="s">
        <v>23</v>
      </c>
      <c r="B3" s="13">
        <v>1092</v>
      </c>
      <c r="C3" s="12">
        <v>90</v>
      </c>
      <c r="D3" s="12">
        <v>68</v>
      </c>
      <c r="E3" s="14">
        <f>D3/C3</f>
        <v>0.755555555555556</v>
      </c>
      <c r="F3" s="15">
        <f>K3/D3</f>
        <v>0</v>
      </c>
      <c r="G3" s="16">
        <v>81</v>
      </c>
      <c r="H3" s="17">
        <f>I3-G3</f>
        <v>-81</v>
      </c>
      <c r="I3" s="16"/>
      <c r="J3" s="24"/>
      <c r="K3" s="19">
        <f>N3+V3+AB3+AH3</f>
        <v>0</v>
      </c>
      <c r="L3" s="20">
        <f>K3/B3</f>
        <v>0</v>
      </c>
      <c r="M3" s="21">
        <f>B3*0.28</f>
        <v>305.76</v>
      </c>
      <c r="N3" s="13">
        <f>SUM(P3:T3)</f>
        <v>0</v>
      </c>
      <c r="O3" s="22">
        <f>N3/M3</f>
        <v>0</v>
      </c>
      <c r="P3" s="21"/>
      <c r="Q3" s="21"/>
      <c r="R3" s="21"/>
      <c r="S3" s="21"/>
      <c r="T3" s="21"/>
      <c r="U3" s="21">
        <f t="shared" ref="U3:U8" si="0">B3*0.25</f>
        <v>273</v>
      </c>
      <c r="V3" s="13">
        <f>SUM(X3:Z3)</f>
        <v>0</v>
      </c>
      <c r="W3" s="22">
        <f>V3/U3</f>
        <v>0</v>
      </c>
      <c r="X3" s="21"/>
      <c r="Y3" s="21"/>
      <c r="Z3" s="21"/>
      <c r="AA3" s="21">
        <f t="shared" ref="AA3:AA8" si="1">B3*0.25</f>
        <v>273</v>
      </c>
      <c r="AB3" s="13">
        <f>AF3</f>
        <v>0</v>
      </c>
      <c r="AC3" s="22">
        <f>AB3/AA3</f>
        <v>0</v>
      </c>
      <c r="AD3" s="21"/>
      <c r="AE3" s="21"/>
      <c r="AF3" s="21"/>
      <c r="AG3" s="13">
        <f t="shared" ref="AG3:AG8" si="2">B3*0.25</f>
        <v>273</v>
      </c>
      <c r="AH3" s="13">
        <f>SUM(AJ3:AM3)</f>
        <v>0</v>
      </c>
      <c r="AI3" s="22">
        <f>AH3/AG3</f>
        <v>0</v>
      </c>
      <c r="AJ3" s="23"/>
      <c r="AK3" s="23"/>
      <c r="AL3" s="23"/>
      <c r="AM3" s="23"/>
      <c r="AN3" s="12">
        <v>847</v>
      </c>
    </row>
    <row r="4" customFormat="1" ht="16.5" spans="1:40">
      <c r="A4" s="12" t="s">
        <v>24</v>
      </c>
      <c r="B4" s="13">
        <v>1552</v>
      </c>
      <c r="C4" s="12">
        <v>69</v>
      </c>
      <c r="D4" s="12">
        <v>53</v>
      </c>
      <c r="E4" s="14">
        <f t="shared" ref="E2:E8" si="3">D4/C4</f>
        <v>0.768115942028985</v>
      </c>
      <c r="F4" s="15">
        <f t="shared" ref="F2:F8" si="4">K4/D4</f>
        <v>0</v>
      </c>
      <c r="G4" s="16">
        <v>110</v>
      </c>
      <c r="H4" s="17">
        <f t="shared" ref="H2:H8" si="5">I4-G4</f>
        <v>-110</v>
      </c>
      <c r="I4" s="16"/>
      <c r="J4" s="18"/>
      <c r="K4" s="19">
        <f t="shared" ref="K2:K8" si="6">N4+V4+AB4+AH4</f>
        <v>0</v>
      </c>
      <c r="L4" s="20">
        <f t="shared" ref="L2:L8" si="7">K4/B4</f>
        <v>0</v>
      </c>
      <c r="M4" s="21">
        <f t="shared" ref="M2:M8" si="8">B4*0.28</f>
        <v>434.56</v>
      </c>
      <c r="N4" s="13">
        <f>SUM(P4:T4)</f>
        <v>0</v>
      </c>
      <c r="O4" s="22">
        <f t="shared" ref="O2:O8" si="9">N4/M4</f>
        <v>0</v>
      </c>
      <c r="P4" s="21"/>
      <c r="Q4" s="21"/>
      <c r="R4" s="21"/>
      <c r="S4" s="21"/>
      <c r="T4" s="21"/>
      <c r="U4" s="21">
        <f t="shared" si="0"/>
        <v>388</v>
      </c>
      <c r="V4" s="13">
        <f>SUM(X4:Z4)</f>
        <v>0</v>
      </c>
      <c r="W4" s="22">
        <f t="shared" ref="W2:W9" si="10">V4/U4</f>
        <v>0</v>
      </c>
      <c r="X4" s="21"/>
      <c r="Y4" s="21"/>
      <c r="Z4" s="21"/>
      <c r="AA4" s="21">
        <f t="shared" si="1"/>
        <v>388</v>
      </c>
      <c r="AB4" s="13">
        <f t="shared" ref="AB2:AB8" si="11">AF4</f>
        <v>0</v>
      </c>
      <c r="AC4" s="22">
        <f t="shared" ref="AC2:AC9" si="12">AB4/AA4</f>
        <v>0</v>
      </c>
      <c r="AD4" s="21"/>
      <c r="AE4" s="21"/>
      <c r="AF4" s="21"/>
      <c r="AG4" s="13">
        <f t="shared" si="2"/>
        <v>388</v>
      </c>
      <c r="AH4" s="13">
        <f>SUM(AJ4:AM4)</f>
        <v>0</v>
      </c>
      <c r="AI4" s="22">
        <f t="shared" ref="AI2:AI9" si="13">AH4/AG4</f>
        <v>0</v>
      </c>
      <c r="AJ4" s="23"/>
      <c r="AK4" s="23"/>
      <c r="AL4" s="23"/>
      <c r="AM4" s="23"/>
      <c r="AN4" s="12">
        <v>1346</v>
      </c>
    </row>
    <row r="5" customFormat="1" ht="16.5" spans="1:40">
      <c r="A5" s="12" t="s">
        <v>25</v>
      </c>
      <c r="B5" s="13">
        <v>467</v>
      </c>
      <c r="C5" s="12">
        <v>78</v>
      </c>
      <c r="D5" s="12">
        <v>56</v>
      </c>
      <c r="E5" s="14">
        <f t="shared" si="3"/>
        <v>0.717948717948718</v>
      </c>
      <c r="F5" s="15">
        <f t="shared" si="4"/>
        <v>0</v>
      </c>
      <c r="G5" s="16">
        <v>26</v>
      </c>
      <c r="H5" s="17">
        <f t="shared" si="5"/>
        <v>-26</v>
      </c>
      <c r="I5" s="16"/>
      <c r="J5" s="18"/>
      <c r="K5" s="19">
        <f t="shared" si="6"/>
        <v>0</v>
      </c>
      <c r="L5" s="20">
        <f t="shared" si="7"/>
        <v>0</v>
      </c>
      <c r="M5" s="21">
        <f t="shared" si="8"/>
        <v>130.76</v>
      </c>
      <c r="N5" s="13">
        <f>SUM(P5:T5)</f>
        <v>0</v>
      </c>
      <c r="O5" s="22">
        <f t="shared" si="9"/>
        <v>0</v>
      </c>
      <c r="P5" s="21"/>
      <c r="Q5" s="21"/>
      <c r="R5" s="21"/>
      <c r="S5" s="21"/>
      <c r="T5" s="21"/>
      <c r="U5" s="21">
        <f t="shared" si="0"/>
        <v>116.75</v>
      </c>
      <c r="V5" s="13">
        <f>SUM(X5:Z5)</f>
        <v>0</v>
      </c>
      <c r="W5" s="22">
        <f t="shared" si="10"/>
        <v>0</v>
      </c>
      <c r="X5" s="21"/>
      <c r="Y5" s="21"/>
      <c r="Z5" s="21"/>
      <c r="AA5" s="21">
        <f t="shared" si="1"/>
        <v>116.75</v>
      </c>
      <c r="AB5" s="13">
        <f t="shared" si="11"/>
        <v>0</v>
      </c>
      <c r="AC5" s="22">
        <f t="shared" si="12"/>
        <v>0</v>
      </c>
      <c r="AD5" s="21"/>
      <c r="AE5" s="21"/>
      <c r="AF5" s="21"/>
      <c r="AG5" s="13">
        <f t="shared" si="2"/>
        <v>116.75</v>
      </c>
      <c r="AH5" s="13">
        <f>SUM(AJ5:AM5)</f>
        <v>0</v>
      </c>
      <c r="AI5" s="22">
        <f t="shared" si="13"/>
        <v>0</v>
      </c>
      <c r="AJ5" s="23"/>
      <c r="AK5" s="23"/>
      <c r="AL5" s="23"/>
      <c r="AM5" s="23"/>
      <c r="AN5" s="12">
        <v>772.5</v>
      </c>
    </row>
    <row r="6" customFormat="1" ht="16.5" spans="1:40">
      <c r="A6" s="12" t="s">
        <v>26</v>
      </c>
      <c r="B6" s="13">
        <v>742</v>
      </c>
      <c r="C6" s="12">
        <v>35</v>
      </c>
      <c r="D6" s="12">
        <v>18</v>
      </c>
      <c r="E6" s="14">
        <f t="shared" si="3"/>
        <v>0.514285714285714</v>
      </c>
      <c r="F6" s="15">
        <f t="shared" si="4"/>
        <v>0</v>
      </c>
      <c r="G6" s="16">
        <v>32</v>
      </c>
      <c r="H6" s="17">
        <f t="shared" si="5"/>
        <v>-32</v>
      </c>
      <c r="I6" s="16"/>
      <c r="J6" s="18"/>
      <c r="K6" s="19">
        <f t="shared" si="6"/>
        <v>0</v>
      </c>
      <c r="L6" s="20">
        <f t="shared" si="7"/>
        <v>0</v>
      </c>
      <c r="M6" s="21">
        <f t="shared" si="8"/>
        <v>207.76</v>
      </c>
      <c r="N6" s="13">
        <f>SUM(P6:T6)</f>
        <v>0</v>
      </c>
      <c r="O6" s="22">
        <f t="shared" si="9"/>
        <v>0</v>
      </c>
      <c r="P6" s="21"/>
      <c r="Q6" s="21"/>
      <c r="R6" s="21"/>
      <c r="S6" s="21"/>
      <c r="T6" s="21"/>
      <c r="U6" s="21">
        <f t="shared" si="0"/>
        <v>185.5</v>
      </c>
      <c r="V6" s="13">
        <f>SUM(X6:Z6)</f>
        <v>0</v>
      </c>
      <c r="W6" s="22">
        <f t="shared" si="10"/>
        <v>0</v>
      </c>
      <c r="X6" s="21"/>
      <c r="Y6" s="21"/>
      <c r="Z6" s="21"/>
      <c r="AA6" s="21">
        <f t="shared" si="1"/>
        <v>185.5</v>
      </c>
      <c r="AB6" s="13">
        <f t="shared" si="11"/>
        <v>0</v>
      </c>
      <c r="AC6" s="22">
        <f t="shared" si="12"/>
        <v>0</v>
      </c>
      <c r="AD6" s="21"/>
      <c r="AE6" s="21"/>
      <c r="AF6" s="21"/>
      <c r="AG6" s="13">
        <f t="shared" si="2"/>
        <v>185.5</v>
      </c>
      <c r="AH6" s="13">
        <f>SUM(AJ6:AM6)</f>
        <v>0</v>
      </c>
      <c r="AI6" s="22">
        <f t="shared" si="13"/>
        <v>0</v>
      </c>
      <c r="AJ6" s="23"/>
      <c r="AK6" s="23"/>
      <c r="AL6" s="23"/>
      <c r="AM6" s="23"/>
      <c r="AN6" s="12">
        <v>981.5</v>
      </c>
    </row>
    <row r="7" customFormat="1" ht="16.5" spans="1:40">
      <c r="A7" s="12" t="s">
        <v>27</v>
      </c>
      <c r="B7" s="13">
        <v>1364</v>
      </c>
      <c r="C7" s="12">
        <v>160</v>
      </c>
      <c r="D7" s="12">
        <v>125</v>
      </c>
      <c r="E7" s="14">
        <f t="shared" si="3"/>
        <v>0.78125</v>
      </c>
      <c r="F7" s="15">
        <f t="shared" si="4"/>
        <v>0</v>
      </c>
      <c r="G7" s="16">
        <v>70</v>
      </c>
      <c r="H7" s="17">
        <f t="shared" si="5"/>
        <v>-70</v>
      </c>
      <c r="I7" s="16"/>
      <c r="J7" s="24"/>
      <c r="K7" s="19">
        <f t="shared" si="6"/>
        <v>0</v>
      </c>
      <c r="L7" s="20">
        <f t="shared" si="7"/>
        <v>0</v>
      </c>
      <c r="M7" s="21">
        <f t="shared" si="8"/>
        <v>381.92</v>
      </c>
      <c r="N7" s="13">
        <f>SUM(P7:T7)</f>
        <v>0</v>
      </c>
      <c r="O7" s="22">
        <f t="shared" si="9"/>
        <v>0</v>
      </c>
      <c r="P7" s="21"/>
      <c r="Q7" s="21"/>
      <c r="R7" s="21"/>
      <c r="S7" s="21"/>
      <c r="T7" s="21"/>
      <c r="U7" s="21">
        <f t="shared" si="0"/>
        <v>341</v>
      </c>
      <c r="V7" s="13">
        <f>SUM(X7:Z7)</f>
        <v>0</v>
      </c>
      <c r="W7" s="22">
        <f t="shared" si="10"/>
        <v>0</v>
      </c>
      <c r="X7" s="21"/>
      <c r="Y7" s="21"/>
      <c r="Z7" s="21"/>
      <c r="AA7" s="21">
        <f t="shared" si="1"/>
        <v>341</v>
      </c>
      <c r="AB7" s="13">
        <f t="shared" si="11"/>
        <v>0</v>
      </c>
      <c r="AC7" s="22">
        <f t="shared" si="12"/>
        <v>0</v>
      </c>
      <c r="AD7" s="21"/>
      <c r="AE7" s="21"/>
      <c r="AF7" s="21"/>
      <c r="AG7" s="13">
        <f t="shared" si="2"/>
        <v>341</v>
      </c>
      <c r="AH7" s="13">
        <f>SUM(AJ7:AM7)</f>
        <v>0</v>
      </c>
      <c r="AI7" s="22">
        <f t="shared" si="13"/>
        <v>0</v>
      </c>
      <c r="AJ7" s="23"/>
      <c r="AK7" s="23"/>
      <c r="AL7" s="23"/>
      <c r="AM7" s="23"/>
      <c r="AN7" s="12">
        <v>1134.5</v>
      </c>
    </row>
    <row r="8" customFormat="1" ht="16.5" spans="1:40">
      <c r="A8" s="12" t="s">
        <v>28</v>
      </c>
      <c r="B8" s="13">
        <v>705</v>
      </c>
      <c r="C8" s="12">
        <v>56</v>
      </c>
      <c r="D8" s="12">
        <v>46</v>
      </c>
      <c r="E8" s="14">
        <f t="shared" si="3"/>
        <v>0.821428571428571</v>
      </c>
      <c r="F8" s="15">
        <f t="shared" si="4"/>
        <v>0</v>
      </c>
      <c r="G8" s="16">
        <v>30</v>
      </c>
      <c r="H8" s="17">
        <f t="shared" si="5"/>
        <v>-30</v>
      </c>
      <c r="I8" s="16"/>
      <c r="J8" s="18"/>
      <c r="K8" s="19">
        <f t="shared" si="6"/>
        <v>0</v>
      </c>
      <c r="L8" s="20">
        <f t="shared" si="7"/>
        <v>0</v>
      </c>
      <c r="M8" s="21">
        <f t="shared" si="8"/>
        <v>197.4</v>
      </c>
      <c r="N8" s="13">
        <f>SUM(P8:T8)</f>
        <v>0</v>
      </c>
      <c r="O8" s="22">
        <f t="shared" si="9"/>
        <v>0</v>
      </c>
      <c r="P8" s="21"/>
      <c r="Q8" s="21"/>
      <c r="R8" s="21"/>
      <c r="S8" s="21"/>
      <c r="T8" s="21"/>
      <c r="U8" s="21">
        <f t="shared" si="0"/>
        <v>176.25</v>
      </c>
      <c r="V8" s="13">
        <f>SUM(X8:Z8)</f>
        <v>0</v>
      </c>
      <c r="W8" s="22">
        <f t="shared" si="10"/>
        <v>0</v>
      </c>
      <c r="X8" s="21"/>
      <c r="Y8" s="21"/>
      <c r="Z8" s="21"/>
      <c r="AA8" s="21">
        <f t="shared" si="1"/>
        <v>176.25</v>
      </c>
      <c r="AB8" s="13">
        <f t="shared" si="11"/>
        <v>0</v>
      </c>
      <c r="AC8" s="22">
        <f t="shared" si="12"/>
        <v>0</v>
      </c>
      <c r="AD8" s="21"/>
      <c r="AE8" s="21"/>
      <c r="AF8" s="21"/>
      <c r="AG8" s="13">
        <f t="shared" si="2"/>
        <v>176.25</v>
      </c>
      <c r="AH8" s="13">
        <f>SUM(AJ8:AM8)</f>
        <v>0</v>
      </c>
      <c r="AI8" s="22">
        <f t="shared" si="13"/>
        <v>0</v>
      </c>
      <c r="AJ8" s="23"/>
      <c r="AK8" s="23"/>
      <c r="AL8" s="23"/>
      <c r="AM8" s="23"/>
      <c r="AN8" s="12">
        <v>581</v>
      </c>
    </row>
    <row r="9" customFormat="1" ht="16.5" spans="1:40">
      <c r="A9" s="25" t="s">
        <v>29</v>
      </c>
      <c r="B9" s="26">
        <f>SUM(B2:B8)</f>
        <v>7048</v>
      </c>
      <c r="C9" s="26">
        <f>SUM('7月'!C2:C8)</f>
        <v>579</v>
      </c>
      <c r="D9" s="26">
        <f>SUM('7月'!D2:D8)</f>
        <v>434</v>
      </c>
      <c r="E9" s="27">
        <f t="shared" ref="E9" si="14">D9/C9</f>
        <v>0.749568221070812</v>
      </c>
      <c r="F9" s="28">
        <f t="shared" ref="F9" si="15">K9/D9</f>
        <v>0</v>
      </c>
      <c r="G9" s="26">
        <f>SUM('7月'!G2:G8)</f>
        <v>454</v>
      </c>
      <c r="H9" s="26">
        <f t="shared" ref="H9" si="16">I9-G9</f>
        <v>-454</v>
      </c>
      <c r="I9" s="26">
        <f>SUM('7月'!I2:I8)</f>
        <v>0</v>
      </c>
      <c r="J9" s="26">
        <f>SUM('7月'!J2:J8)</f>
        <v>0</v>
      </c>
      <c r="K9" s="26">
        <f>SUM(K2:K8)</f>
        <v>0</v>
      </c>
      <c r="L9" s="27">
        <f t="shared" ref="L9" si="17">K9/B9</f>
        <v>0</v>
      </c>
      <c r="M9" s="29">
        <f>SUM(M2:M8)</f>
        <v>1973.44</v>
      </c>
      <c r="N9" s="29">
        <f>SUM(N2:N8)</f>
        <v>0</v>
      </c>
      <c r="O9" s="27">
        <f t="shared" ref="O9" si="18">N9/M9</f>
        <v>0</v>
      </c>
      <c r="P9" s="30">
        <f>SUM(P2:P8)</f>
        <v>0</v>
      </c>
      <c r="Q9" s="30">
        <f>SUM(Q2:Q8)</f>
        <v>0</v>
      </c>
      <c r="R9" s="30">
        <f>SUM(R2:R8)</f>
        <v>0</v>
      </c>
      <c r="S9" s="30">
        <f>SUM(S2:S8)</f>
        <v>0</v>
      </c>
      <c r="T9" s="30">
        <f>SUM(T2:T8)</f>
        <v>0</v>
      </c>
      <c r="U9" s="29">
        <f>SUM(U2:U8)</f>
        <v>1762</v>
      </c>
      <c r="V9" s="25">
        <f>SUM(V2:V8)</f>
        <v>0</v>
      </c>
      <c r="W9" s="27">
        <f t="shared" si="10"/>
        <v>0</v>
      </c>
      <c r="X9" s="30">
        <f>SUM(X2:X8)</f>
        <v>0</v>
      </c>
      <c r="Y9" s="30">
        <f t="shared" ref="Y9:AE9" si="19">SUM(Y2:Y8)</f>
        <v>0</v>
      </c>
      <c r="Z9" s="30">
        <f t="shared" si="19"/>
        <v>0</v>
      </c>
      <c r="AA9" s="29">
        <f t="shared" si="19"/>
        <v>1762</v>
      </c>
      <c r="AB9" s="29">
        <f t="shared" si="19"/>
        <v>0</v>
      </c>
      <c r="AC9" s="27">
        <f t="shared" si="12"/>
        <v>0</v>
      </c>
      <c r="AD9" s="25">
        <f t="shared" si="19"/>
        <v>0</v>
      </c>
      <c r="AE9" s="25">
        <f t="shared" si="19"/>
        <v>0</v>
      </c>
      <c r="AF9" s="25">
        <f>SUM(AF2:AF8)</f>
        <v>0</v>
      </c>
      <c r="AG9" s="29">
        <f>SUM(AG2:AG8)</f>
        <v>1762</v>
      </c>
      <c r="AH9" s="25">
        <f>SUM(AH2:AH8)</f>
        <v>0</v>
      </c>
      <c r="AI9" s="27">
        <f t="shared" si="13"/>
        <v>0</v>
      </c>
      <c r="AJ9" s="25">
        <f>SUM(AJ2:AJ8)</f>
        <v>0</v>
      </c>
      <c r="AK9" s="25">
        <f>SUM(AK2:AK8)</f>
        <v>0</v>
      </c>
      <c r="AL9" s="25">
        <f>SUM(AL2:AL8)</f>
        <v>0</v>
      </c>
      <c r="AM9" s="25">
        <f>SUM(AM2:AM8)</f>
        <v>0</v>
      </c>
      <c r="AN9" s="26">
        <f>SUM(AN2:AN8)</f>
        <v>6599</v>
      </c>
    </row>
    <row r="11" ht="16.5" spans="1:40">
      <c r="B11" s="11" t="s">
        <v>30</v>
      </c>
      <c r="C11" s="11" t="s">
        <v>0</v>
      </c>
      <c r="D11" s="11" t="s">
        <v>31</v>
      </c>
      <c r="E11" s="11" t="s">
        <v>32</v>
      </c>
      <c r="F11" s="11" t="s">
        <v>33</v>
      </c>
      <c r="G11" s="11" t="s">
        <v>34</v>
      </c>
      <c r="H11" s="11" t="s">
        <v>21</v>
      </c>
      <c r="I11" s="11" t="s">
        <v>35</v>
      </c>
      <c r="L11" s="31"/>
      <c r="M11" s="32"/>
      <c r="O11" s="32"/>
      <c r="P11" s="32"/>
      <c r="Q11" s="32"/>
      <c r="R11" s="32"/>
      <c r="S11" s="32"/>
      <c r="T11" s="32"/>
    </row>
    <row r="12" ht="16.5" spans="1:40">
      <c r="B12" s="33" t="s">
        <v>36</v>
      </c>
      <c r="C12" s="12" t="str">
        <f>A2</f>
        <v>初数北区</v>
      </c>
      <c r="D12" s="13">
        <f>B2</f>
        <v>1126</v>
      </c>
      <c r="E12" s="34">
        <f>I2</f>
        <v>0</v>
      </c>
      <c r="F12" s="12">
        <f>K2</f>
        <v>0</v>
      </c>
      <c r="G12" s="20">
        <f t="shared" ref="G12:G19" si="20">F12/D12</f>
        <v>0</v>
      </c>
      <c r="H12" s="12">
        <f>AN2</f>
        <v>936.5</v>
      </c>
      <c r="I12" s="35">
        <f>(F12-H12)/H12</f>
        <v>-1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</row>
    <row r="13" ht="16.5" spans="1:40">
      <c r="B13" s="36"/>
      <c r="C13" s="12" t="str">
        <f t="shared" ref="C13:C18" si="21">A3</f>
        <v>初中物理</v>
      </c>
      <c r="D13" s="13">
        <f t="shared" ref="D13:D18" si="22">B3</f>
        <v>1092</v>
      </c>
      <c r="E13" s="34">
        <f t="shared" ref="E13:E18" si="23">I3</f>
        <v>0</v>
      </c>
      <c r="F13" s="12">
        <f t="shared" ref="F13:F18" si="24">K3</f>
        <v>0</v>
      </c>
      <c r="G13" s="20">
        <f t="shared" si="20"/>
        <v>0</v>
      </c>
      <c r="H13" s="12">
        <f t="shared" ref="H13:H18" si="25">AN3</f>
        <v>847</v>
      </c>
      <c r="I13" s="35">
        <f t="shared" ref="I13:I19" si="26">(F13-H13)/H13</f>
        <v>-1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</row>
    <row r="14" ht="16.5" spans="1:40">
      <c r="B14" s="36"/>
      <c r="C14" s="12" t="str">
        <f t="shared" si="21"/>
        <v>初中英语</v>
      </c>
      <c r="D14" s="13">
        <f t="shared" si="22"/>
        <v>1552</v>
      </c>
      <c r="E14" s="34">
        <f t="shared" si="23"/>
        <v>0</v>
      </c>
      <c r="F14" s="12">
        <f t="shared" si="24"/>
        <v>0</v>
      </c>
      <c r="G14" s="20">
        <f t="shared" si="20"/>
        <v>0</v>
      </c>
      <c r="H14" s="12">
        <f t="shared" si="25"/>
        <v>1346</v>
      </c>
      <c r="I14" s="35">
        <f t="shared" si="26"/>
        <v>-1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</row>
    <row r="15" ht="16.5" spans="1:40">
      <c r="B15" s="36"/>
      <c r="C15" s="12" t="str">
        <f t="shared" si="21"/>
        <v>初中生化</v>
      </c>
      <c r="D15" s="13">
        <f t="shared" si="22"/>
        <v>467</v>
      </c>
      <c r="E15" s="34">
        <f t="shared" si="23"/>
        <v>0</v>
      </c>
      <c r="F15" s="12">
        <f t="shared" si="24"/>
        <v>0</v>
      </c>
      <c r="G15" s="20">
        <f t="shared" si="20"/>
        <v>0</v>
      </c>
      <c r="H15" s="12">
        <f t="shared" si="25"/>
        <v>772.5</v>
      </c>
      <c r="I15" s="35">
        <f t="shared" si="26"/>
        <v>-1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</row>
    <row r="16" ht="16.5" spans="1:40">
      <c r="B16" s="36"/>
      <c r="C16" s="12" t="str">
        <f t="shared" si="21"/>
        <v>初中文综</v>
      </c>
      <c r="D16" s="13">
        <f t="shared" si="22"/>
        <v>742</v>
      </c>
      <c r="E16" s="34">
        <f t="shared" si="23"/>
        <v>0</v>
      </c>
      <c r="F16" s="12">
        <f t="shared" si="24"/>
        <v>0</v>
      </c>
      <c r="G16" s="20">
        <f t="shared" si="20"/>
        <v>0</v>
      </c>
      <c r="H16" s="12">
        <f t="shared" si="25"/>
        <v>981.5</v>
      </c>
      <c r="I16" s="35">
        <f t="shared" si="26"/>
        <v>-1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</row>
    <row r="17" ht="16.5" spans="2:23">
      <c r="B17" s="36"/>
      <c r="C17" s="12" t="str">
        <f t="shared" si="21"/>
        <v>初数南区</v>
      </c>
      <c r="D17" s="13">
        <f t="shared" si="22"/>
        <v>1364</v>
      </c>
      <c r="E17" s="34">
        <f t="shared" si="23"/>
        <v>0</v>
      </c>
      <c r="F17" s="12">
        <f t="shared" si="24"/>
        <v>0</v>
      </c>
      <c r="G17" s="20">
        <f t="shared" si="20"/>
        <v>0</v>
      </c>
      <c r="H17" s="12">
        <f t="shared" si="25"/>
        <v>1134.5</v>
      </c>
      <c r="I17" s="35">
        <f t="shared" si="26"/>
        <v>-1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</row>
    <row r="18" ht="16.5" spans="2:23">
      <c r="B18" s="36"/>
      <c r="C18" s="12" t="str">
        <f t="shared" si="21"/>
        <v>初中语文</v>
      </c>
      <c r="D18" s="13">
        <f t="shared" si="22"/>
        <v>705</v>
      </c>
      <c r="E18" s="34">
        <f t="shared" si="23"/>
        <v>0</v>
      </c>
      <c r="F18" s="12">
        <f t="shared" si="24"/>
        <v>0</v>
      </c>
      <c r="G18" s="20">
        <f t="shared" si="20"/>
        <v>0</v>
      </c>
      <c r="H18" s="12">
        <f t="shared" si="25"/>
        <v>581</v>
      </c>
      <c r="I18" s="35">
        <f t="shared" si="26"/>
        <v>-1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</row>
    <row r="19" customFormat="1" ht="16.5" spans="2:23">
      <c r="B19" s="37" t="s">
        <v>29</v>
      </c>
      <c r="C19" s="38" t="s">
        <v>29</v>
      </c>
      <c r="D19" s="39">
        <f>SUM(D12:D18)</f>
        <v>7048</v>
      </c>
      <c r="E19" s="40">
        <f>SUM(E12:E18)</f>
        <v>0</v>
      </c>
      <c r="F19" s="41">
        <f>SUM(F12:F18)</f>
        <v>0</v>
      </c>
      <c r="G19" s="42">
        <f t="shared" si="20"/>
        <v>0</v>
      </c>
      <c r="H19" s="38">
        <f>SUM(H12:H18)</f>
        <v>6599</v>
      </c>
      <c r="I19" s="43">
        <f t="shared" si="26"/>
        <v>-1</v>
      </c>
      <c r="J19" s="8"/>
      <c r="K19" s="8"/>
      <c r="L19" s="31"/>
      <c r="M19" s="31"/>
      <c r="N19" s="32"/>
      <c r="O19" s="31"/>
      <c r="P19" s="31"/>
      <c r="Q19" s="31"/>
      <c r="R19" s="31"/>
      <c r="S19" s="31"/>
      <c r="T19" s="31"/>
      <c r="U19" s="8"/>
      <c r="V19" s="32"/>
      <c r="W19" s="8"/>
    </row>
    <row r="20" customFormat="1" ht="16.5" spans="2:23">
      <c r="B20" s="8"/>
      <c r="C20" s="8"/>
      <c r="D20" s="8"/>
      <c r="E20" s="8"/>
      <c r="F20" s="8"/>
      <c r="G20" s="8"/>
      <c r="H20" s="44"/>
      <c r="I20" s="45"/>
      <c r="J20" s="31"/>
      <c r="K20" s="31"/>
      <c r="L20" s="31"/>
      <c r="M20" s="31"/>
      <c r="N20" s="8"/>
      <c r="O20" s="31"/>
      <c r="P20" s="31"/>
      <c r="Q20" s="31"/>
      <c r="R20" s="31"/>
      <c r="S20" s="31"/>
      <c r="T20" s="31"/>
      <c r="U20" s="31"/>
      <c r="V20" s="8"/>
      <c r="W20" s="8"/>
    </row>
    <row r="21" customFormat="1" ht="16.5" spans="2:23">
      <c r="B21" s="8"/>
      <c r="C21" s="8"/>
      <c r="D21" s="8"/>
      <c r="E21" s="8"/>
      <c r="F21" s="8"/>
      <c r="G21" s="8"/>
      <c r="H21" s="46"/>
      <c r="I21" s="46"/>
      <c r="J21" s="8"/>
      <c r="K21" s="8"/>
      <c r="L21" s="8"/>
      <c r="M21" s="32"/>
      <c r="N21" s="32"/>
      <c r="O21" s="32"/>
      <c r="P21" s="32"/>
      <c r="Q21" s="32"/>
      <c r="R21" s="32"/>
      <c r="S21" s="32"/>
      <c r="T21" s="32"/>
      <c r="U21" s="32"/>
      <c r="V21" s="8"/>
      <c r="W21" s="8"/>
    </row>
    <row r="22" customFormat="1" spans="2:23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32"/>
      <c r="N22" s="32"/>
      <c r="O22" s="32"/>
      <c r="P22" s="32"/>
      <c r="Q22" s="32"/>
      <c r="R22" s="32"/>
      <c r="S22" s="32"/>
      <c r="T22" s="32"/>
      <c r="U22" s="32"/>
      <c r="V22" s="8"/>
      <c r="W22" s="8"/>
    </row>
    <row r="23" customFormat="1" spans="2:23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32"/>
      <c r="N23" s="32"/>
      <c r="O23" s="32"/>
      <c r="P23" s="32"/>
      <c r="Q23" s="32"/>
      <c r="R23" s="32"/>
      <c r="S23" s="32"/>
      <c r="T23" s="32"/>
      <c r="U23" s="32"/>
      <c r="V23" s="8"/>
      <c r="W23" s="8"/>
    </row>
    <row r="24" customFormat="1" spans="2:2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32"/>
      <c r="N24" s="32"/>
      <c r="O24" s="32"/>
      <c r="P24" s="32"/>
      <c r="Q24" s="32"/>
      <c r="R24" s="32"/>
      <c r="S24" s="32"/>
      <c r="T24" s="32"/>
      <c r="U24" s="32"/>
      <c r="V24" s="47"/>
      <c r="W24" s="8"/>
    </row>
  </sheetData>
  <sortState ref="A2:AS8">
    <sortCondition ref="L2:L8" descending="1"/>
  </sortState>
  <mergeCells count="1">
    <mergeCell ref="B12:B18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1"/>
  <sheetViews>
    <sheetView workbookViewId="0">
      <selection activeCell="A2" sqref="A2:P2"/>
    </sheetView>
  </sheetViews>
  <sheetFormatPr defaultColWidth="8.66666666666667" defaultRowHeight="14"/>
  <cols>
    <col min="1" max="1" width="9.83333333333333" customWidth="1"/>
    <col min="2" max="4" width="6.83333333333333" customWidth="1"/>
    <col min="5" max="13" width="10.0833333333333" customWidth="1"/>
    <col min="14" max="14" width="9.16666666666667"/>
  </cols>
  <sheetData>
    <row r="2" ht="16.5" spans="1:16">
      <c r="A2" s="1" t="s">
        <v>37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6.5" spans="1:16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</row>
    <row r="4" ht="16.5" spans="1:16">
      <c r="A4" s="3" t="s">
        <v>22</v>
      </c>
      <c r="B4" s="4">
        <v>868</v>
      </c>
      <c r="C4" s="5">
        <f t="shared" ref="C4:C10" si="0">F4+I4+L4+O4</f>
        <v>313.5</v>
      </c>
      <c r="D4" s="5">
        <f t="shared" ref="D4:D10" si="1">C4-B4</f>
        <v>-554.5</v>
      </c>
      <c r="E4" s="5">
        <f t="shared" ref="E4:E10" si="2">B4*0.5</f>
        <v>434</v>
      </c>
      <c r="F4" s="5">
        <v>313.5</v>
      </c>
      <c r="G4" s="5">
        <f t="shared" ref="G4:G10" si="3">F4-E4</f>
        <v>-120.5</v>
      </c>
      <c r="H4" s="5">
        <f t="shared" ref="H4:H10" si="4">B4*0.08</f>
        <v>69.44</v>
      </c>
      <c r="I4" s="5"/>
      <c r="J4" s="5"/>
      <c r="K4" s="5">
        <f t="shared" ref="K4:K10" si="5">E4*0.2</f>
        <v>86.8</v>
      </c>
      <c r="L4" s="5"/>
      <c r="M4" s="5"/>
      <c r="N4" s="5">
        <f t="shared" ref="N4:N10" si="6">H4*0.22</f>
        <v>15.2768</v>
      </c>
      <c r="O4" s="6"/>
      <c r="P4" s="6"/>
    </row>
    <row r="5" ht="16.5" spans="1:16">
      <c r="A5" s="3" t="s">
        <v>27</v>
      </c>
      <c r="B5" s="4">
        <v>1208</v>
      </c>
      <c r="C5" s="5">
        <f t="shared" si="0"/>
        <v>273.5</v>
      </c>
      <c r="D5" s="5">
        <f t="shared" si="1"/>
        <v>-934.5</v>
      </c>
      <c r="E5" s="5">
        <f t="shared" si="2"/>
        <v>604</v>
      </c>
      <c r="F5" s="5">
        <v>273.5</v>
      </c>
      <c r="G5" s="5">
        <f t="shared" si="3"/>
        <v>-330.5</v>
      </c>
      <c r="H5" s="5">
        <f t="shared" si="4"/>
        <v>96.64</v>
      </c>
      <c r="I5" s="5"/>
      <c r="J5" s="5"/>
      <c r="K5" s="5">
        <f t="shared" si="5"/>
        <v>120.8</v>
      </c>
      <c r="L5" s="5"/>
      <c r="M5" s="5"/>
      <c r="N5" s="5">
        <f t="shared" si="6"/>
        <v>21.2608</v>
      </c>
      <c r="O5" s="6"/>
      <c r="P5" s="6"/>
    </row>
    <row r="6" ht="16.5" spans="1:16">
      <c r="A6" s="3" t="s">
        <v>25</v>
      </c>
      <c r="B6" s="4">
        <v>338</v>
      </c>
      <c r="C6" s="5">
        <f t="shared" si="0"/>
        <v>51.5</v>
      </c>
      <c r="D6" s="5">
        <f t="shared" si="1"/>
        <v>-286.5</v>
      </c>
      <c r="E6" s="5">
        <f t="shared" si="2"/>
        <v>169</v>
      </c>
      <c r="F6" s="5">
        <v>51.5</v>
      </c>
      <c r="G6" s="5">
        <f t="shared" si="3"/>
        <v>-117.5</v>
      </c>
      <c r="H6" s="5">
        <f t="shared" si="4"/>
        <v>27.04</v>
      </c>
      <c r="I6" s="5"/>
      <c r="J6" s="5"/>
      <c r="K6" s="5">
        <f t="shared" si="5"/>
        <v>33.8</v>
      </c>
      <c r="L6" s="5"/>
      <c r="M6" s="5"/>
      <c r="N6" s="5">
        <f t="shared" si="6"/>
        <v>5.9488</v>
      </c>
      <c r="O6" s="6"/>
      <c r="P6" s="6"/>
    </row>
    <row r="7" ht="16.5" spans="1:16">
      <c r="A7" s="3" t="s">
        <v>26</v>
      </c>
      <c r="B7" s="4">
        <v>619</v>
      </c>
      <c r="C7" s="5">
        <f t="shared" si="0"/>
        <v>64.5</v>
      </c>
      <c r="D7" s="5">
        <f t="shared" si="1"/>
        <v>-554.5</v>
      </c>
      <c r="E7" s="5">
        <f t="shared" si="2"/>
        <v>309.5</v>
      </c>
      <c r="F7" s="5">
        <v>64.5</v>
      </c>
      <c r="G7" s="5">
        <f t="shared" si="3"/>
        <v>-245</v>
      </c>
      <c r="H7" s="5">
        <f t="shared" si="4"/>
        <v>49.52</v>
      </c>
      <c r="I7" s="5"/>
      <c r="J7" s="5"/>
      <c r="K7" s="5">
        <f t="shared" si="5"/>
        <v>61.9</v>
      </c>
      <c r="L7" s="5"/>
      <c r="M7" s="5"/>
      <c r="N7" s="5">
        <f t="shared" si="6"/>
        <v>10.8944</v>
      </c>
      <c r="O7" s="6"/>
      <c r="P7" s="6"/>
    </row>
    <row r="8" ht="16.5" spans="1:16">
      <c r="A8" s="3" t="s">
        <v>23</v>
      </c>
      <c r="B8" s="4">
        <v>706</v>
      </c>
      <c r="C8" s="5">
        <f t="shared" si="0"/>
        <v>179.5</v>
      </c>
      <c r="D8" s="5">
        <f t="shared" si="1"/>
        <v>-526.5</v>
      </c>
      <c r="E8" s="5">
        <f t="shared" si="2"/>
        <v>353</v>
      </c>
      <c r="F8" s="5">
        <v>179.5</v>
      </c>
      <c r="G8" s="5">
        <f t="shared" si="3"/>
        <v>-173.5</v>
      </c>
      <c r="H8" s="5">
        <f t="shared" si="4"/>
        <v>56.48</v>
      </c>
      <c r="I8" s="5"/>
      <c r="J8" s="5"/>
      <c r="K8" s="5">
        <f t="shared" si="5"/>
        <v>70.6</v>
      </c>
      <c r="L8" s="5"/>
      <c r="M8" s="5"/>
      <c r="N8" s="5">
        <f t="shared" si="6"/>
        <v>12.4256</v>
      </c>
      <c r="O8" s="6"/>
      <c r="P8" s="6"/>
    </row>
    <row r="9" ht="16.5" spans="1:16">
      <c r="A9" s="3" t="s">
        <v>24</v>
      </c>
      <c r="B9" s="4">
        <v>1083</v>
      </c>
      <c r="C9" s="5">
        <f t="shared" si="0"/>
        <v>351.5</v>
      </c>
      <c r="D9" s="5">
        <f t="shared" si="1"/>
        <v>-731.5</v>
      </c>
      <c r="E9" s="5">
        <f t="shared" si="2"/>
        <v>541.5</v>
      </c>
      <c r="F9" s="5">
        <v>351.5</v>
      </c>
      <c r="G9" s="5">
        <f t="shared" si="3"/>
        <v>-190</v>
      </c>
      <c r="H9" s="5">
        <f t="shared" si="4"/>
        <v>86.64</v>
      </c>
      <c r="I9" s="5"/>
      <c r="J9" s="5"/>
      <c r="K9" s="5">
        <f t="shared" si="5"/>
        <v>108.3</v>
      </c>
      <c r="L9" s="5"/>
      <c r="M9" s="5"/>
      <c r="N9" s="5">
        <f t="shared" si="6"/>
        <v>19.0608</v>
      </c>
      <c r="O9" s="6"/>
      <c r="P9" s="6"/>
    </row>
    <row r="10" ht="16.5" spans="1:16">
      <c r="A10" s="3" t="s">
        <v>28</v>
      </c>
      <c r="B10" s="4">
        <v>572</v>
      </c>
      <c r="C10" s="5">
        <f t="shared" si="0"/>
        <v>127</v>
      </c>
      <c r="D10" s="5">
        <f t="shared" si="1"/>
        <v>-445</v>
      </c>
      <c r="E10" s="5">
        <f t="shared" si="2"/>
        <v>286</v>
      </c>
      <c r="F10" s="5">
        <v>127</v>
      </c>
      <c r="G10" s="5">
        <f t="shared" si="3"/>
        <v>-159</v>
      </c>
      <c r="H10" s="5">
        <f t="shared" si="4"/>
        <v>45.76</v>
      </c>
      <c r="I10" s="5"/>
      <c r="J10" s="5"/>
      <c r="K10" s="5">
        <f t="shared" si="5"/>
        <v>57.2</v>
      </c>
      <c r="L10" s="5"/>
      <c r="M10" s="5"/>
      <c r="N10" s="5">
        <f t="shared" si="6"/>
        <v>10.0672</v>
      </c>
      <c r="O10" s="6"/>
      <c r="P10" s="6"/>
    </row>
    <row r="11" ht="16.5" spans="1:16">
      <c r="A11" s="2" t="s">
        <v>54</v>
      </c>
      <c r="B11" s="7">
        <f>SUM(B4:B10)</f>
        <v>5394</v>
      </c>
      <c r="C11" s="7">
        <f t="shared" ref="C11:P11" si="7">SUM(C4:C10)</f>
        <v>1361</v>
      </c>
      <c r="D11" s="7">
        <f t="shared" si="7"/>
        <v>-4033</v>
      </c>
      <c r="E11" s="7">
        <f t="shared" si="7"/>
        <v>2697</v>
      </c>
      <c r="F11" s="7">
        <f t="shared" si="7"/>
        <v>1361</v>
      </c>
      <c r="G11" s="7">
        <f t="shared" si="7"/>
        <v>-1336</v>
      </c>
      <c r="H11" s="7">
        <f t="shared" si="7"/>
        <v>431.52</v>
      </c>
      <c r="I11" s="7">
        <f t="shared" si="7"/>
        <v>0</v>
      </c>
      <c r="J11" s="7">
        <f t="shared" si="7"/>
        <v>0</v>
      </c>
      <c r="K11" s="7">
        <f t="shared" si="7"/>
        <v>539.4</v>
      </c>
      <c r="L11" s="7">
        <f t="shared" si="7"/>
        <v>0</v>
      </c>
      <c r="M11" s="7">
        <f t="shared" si="7"/>
        <v>0</v>
      </c>
      <c r="N11" s="7">
        <f t="shared" si="7"/>
        <v>94.9344</v>
      </c>
      <c r="O11" s="7">
        <f t="shared" si="7"/>
        <v>0</v>
      </c>
      <c r="P11" s="7">
        <f t="shared" si="7"/>
        <v>0</v>
      </c>
    </row>
  </sheetData>
  <sortState ref="A4:P10">
    <sortCondition ref="A4:A10"/>
  </sortState>
  <mergeCells count="1">
    <mergeCell ref="A2:P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卫强</dc:creator>
  <cp:lastModifiedBy>小强</cp:lastModifiedBy>
  <dcterms:created xsi:type="dcterms:W3CDTF">2015-07-07T02:19:00Z</dcterms:created>
  <dcterms:modified xsi:type="dcterms:W3CDTF">2026-02-28T12:24:17Z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0546B7AA4FEB4DBCADA827187671C0BE_13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